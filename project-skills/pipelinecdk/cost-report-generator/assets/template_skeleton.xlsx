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wgcp-my.sharepoint.com/personal/simon_calderon_blend360_com/Documents/"/>
    </mc:Choice>
  </mc:AlternateContent>
  <xr:revisionPtr revIDLastSave="0" documentId="8_{0E85F0A2-B3B5-4701-B002-E2672373A5A0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Resumen" sheetId="1" r:id="rId1"/>
    <sheet name="Analisis de Costos" sheetId="2" r:id="rId2"/>
    <sheet name="Por_cuenta" sheetId="3" r:id="rId3"/>
    <sheet name="Por_servicio" sheetId="4" r:id="rId4"/>
    <sheet name="Cuenta_servicio_uso" sheetId="5" r:id="rId5"/>
    <sheet name="Analisis" sheetId="7" r:id="rId6"/>
    <sheet name="Detalle_facturado" sheetId="6" r:id="rId7"/>
  </sheets>
  <definedNames>
    <definedName name="_xlnm._FilterDatabase" localSheetId="4" hidden="1">Cuenta_servicio_uso!$A$1:$P$1735</definedName>
    <definedName name="_xlnm._FilterDatabase" localSheetId="6" hidden="1">Detalle_facturado!$A$1:$AB$60305</definedName>
    <definedName name="_xlnm._FilterDatabase" localSheetId="2" hidden="1">Por_cuenta!$A$1:$J$10</definedName>
    <definedName name="_xlnm._FilterDatabase" localSheetId="3" hidden="1">Por_servicio!$A$1:$K$123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<sst xmlns="http://schemas.openxmlformats.org/spreadsheetml/2006/main" count="982928" uniqueCount="1128">
  <si>
    <t>Resumen ejecutivo de costos</t>
  </si>
  <si>
    <t>Los KPI se calculan desde Detalle_facturado, agrupando por la columna Rubro.</t>
  </si>
  <si>
    <t>Costo Procesamiento</t>
  </si>
  <si>
    <t>Costo Plataforma</t>
  </si>
  <si>
    <t>Costo Licenciamiento</t>
  </si>
  <si>
    <t>Costo Total Global</t>
  </si>
  <si>
    <t>Costo Plataforma - Ambiente de Pruebas</t>
  </si>
  <si>
    <t>Costo Plataforma - Producción y Soporte</t>
  </si>
  <si>
    <t>Cómo leer Rubro</t>
  </si>
  <si>
    <t>Rubro clasifica cada costo como Procesamiento o Plataforma. Cada fila contiene un único importe base, Costo AWS (USD), y su conversión Costo AWS (COP), calculada con la tasa visible abajo. Cuando el rubro es Procesamiento se aplica adicionalmente la tarifa de licenciamiento; para los rubros de Plataforma el licenciamiento es cero.</t>
  </si>
  <si>
    <t>Trazabilidad</t>
  </si>
  <si>
    <t>Por_cuenta, Por_servicio y Cuenta_servicio_uso también están desagregadas por Rubro. Los KPI superiores usan SUMIF sobre Rubro en Detalle_facturado, y los controles inferiores prueban que todas las hojas suman el mismo total.</t>
  </si>
  <si>
    <t>Parámetros y base monetaria</t>
  </si>
  <si>
    <t>Tasa de cambio</t>
  </si>
  <si>
    <t>Costo AWS total</t>
  </si>
  <si>
    <t>USD</t>
  </si>
  <si>
    <t>Tarifa de licenciamiento</t>
  </si>
  <si>
    <t>Costo AWS convertido</t>
  </si>
  <si>
    <t>COP</t>
  </si>
  <si>
    <t>ANALISIS EJECUTIVO DE COSTOS</t>
  </si>
  <si>
    <t>DATO</t>
  </si>
  <si>
    <t>Valor inicial</t>
  </si>
  <si>
    <t>Enterprise support</t>
  </si>
  <si>
    <t>Ambientes de prueba</t>
  </si>
  <si>
    <t>Ambos</t>
  </si>
  <si>
    <t>AMBOS + TRM</t>
  </si>
  <si>
    <t>Ambos Houndoc</t>
  </si>
  <si>
    <t>MAP</t>
  </si>
  <si>
    <t>Entreprise support a Bussines suuport</t>
  </si>
  <si>
    <t>TRM</t>
  </si>
  <si>
    <t>Ambientes prueba</t>
  </si>
  <si>
    <t>TOTAL FACTURABLE</t>
  </si>
  <si>
    <t>COSTO AWS</t>
  </si>
  <si>
    <t>LICENCIAMIENTO</t>
  </si>
  <si>
    <t>% LICENCIAMIENTO</t>
  </si>
  <si>
    <t>CANTIDAD DE AUDITORIAS</t>
  </si>
  <si>
    <t>Componente</t>
  </si>
  <si>
    <t>Valor promedio auditoria</t>
  </si>
  <si>
    <t>Procesamiento AWS</t>
  </si>
  <si>
    <t>VALOR TOTAL</t>
  </si>
  <si>
    <t>Plataforma prod. y soporte</t>
  </si>
  <si>
    <t>Despuento acumulado</t>
  </si>
  <si>
    <t>Plataforma pruebas</t>
  </si>
  <si>
    <t>PROCESAMIENTO AWS</t>
  </si>
  <si>
    <t>PLATAFORMA PROD. Y SOPORTE</t>
  </si>
  <si>
    <t>PLATAFORMA AMBIENTE DE PRUEBAS</t>
  </si>
  <si>
    <t>% GENAI</t>
  </si>
  <si>
    <t>Licenciamiento</t>
  </si>
  <si>
    <t>RADICACION</t>
  </si>
  <si>
    <t>Mayo</t>
  </si>
  <si>
    <t>Junio</t>
  </si>
  <si>
    <t>Julio</t>
  </si>
  <si>
    <t>COMPORTAMIENTO Y COMPOSICION</t>
  </si>
  <si>
    <t>PROCESAMIENTO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</si>
  <si>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</si>
  <si>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</si>
  <si>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</si>
  <si>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</si>
  <si>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</si>
  <si>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</si>
  <si>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</si>
  <si>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</si>
  <si>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</si>
  <si>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</si>
  <si>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</si>
  <si>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Servicio</t>
  </si>
  <si>
    <t>Total facturable COP</t>
  </si>
  <si>
    <t>Ranking</t>
  </si>
  <si>
    <t>Categoria</t>
  </si>
  <si>
    <t>Cuenta</t>
  </si>
  <si>
    <t>Ambiente</t>
  </si>
  <si>
    <t>Fecha</t>
  </si>
  <si>
    <t>Costo AWS COP</t>
  </si>
  <si>
    <t>Modelo</t>
  </si>
  <si>
    <t>Licenciamiento COP</t>
  </si>
  <si>
    <t>Servicio exacto</t>
  </si>
  <si>
    <t>Procesamiento facturable</t>
  </si>
  <si>
    <t>Claude Opus 4.6 (Amazon Bedrock Edition)</t>
  </si>
  <si>
    <t>GenAI</t>
  </si>
  <si>
    <t>ADRES - PROD - Medical Audit</t>
  </si>
  <si>
    <t>Prod</t>
  </si>
  <si>
    <t>Claude Opus 4.6</t>
  </si>
  <si>
    <t>Claude Haiku 4.5 (Amazon Bedrock Edition)</t>
  </si>
  <si>
    <t>Computo</t>
  </si>
  <si>
    <t>ADRES - TEST - Medical Audit</t>
  </si>
  <si>
    <t>Test</t>
  </si>
  <si>
    <t>Claude Haiku 4.5</t>
  </si>
  <si>
    <t>Claude Sonnet 4.6 (Amazon Bedrock Edition)</t>
  </si>
  <si>
    <t>ML</t>
  </si>
  <si>
    <t>ADRES - PROD - Master</t>
  </si>
  <si>
    <t>Claude Sonnet 4.6</t>
  </si>
  <si>
    <t>Claude Sonnet 4.5 (Amazon Bedrock Edition)</t>
  </si>
  <si>
    <t>Base de datos</t>
  </si>
  <si>
    <t>ADRES - TEST - Shared Resources</t>
  </si>
  <si>
    <t>Claude Sonnet 4.5</t>
  </si>
  <si>
    <t>Claude Opus 4.7 (Amazon Bedrock Edition)</t>
  </si>
  <si>
    <t>Busqueda y analitica</t>
  </si>
  <si>
    <t>ADRES - PROD - Shared Resources</t>
  </si>
  <si>
    <t>Claude Opus 4.7</t>
  </si>
  <si>
    <t>Amazon Bedrock</t>
  </si>
  <si>
    <t>Storage</t>
  </si>
  <si>
    <t>ADRES - PROD - Networking</t>
  </si>
  <si>
    <t>Creditos</t>
  </si>
  <si>
    <t>Amazon Bedrock AgentCore</t>
  </si>
  <si>
    <t>DevOps</t>
  </si>
  <si>
    <t>ADRES - PROD - Tooling</t>
  </si>
  <si>
    <t>valor a 3 meses</t>
  </si>
  <si>
    <t>Amazon EC2</t>
  </si>
  <si>
    <t>Backup y resiliencia</t>
  </si>
  <si>
    <t>ADRES - PROD - Logs Archive</t>
  </si>
  <si>
    <t>Amazon ECS / Fargate</t>
  </si>
  <si>
    <t>Analitica y BI</t>
  </si>
  <si>
    <t>AWS Lambda</t>
  </si>
  <si>
    <t>Gobierno de datos</t>
  </si>
  <si>
    <t>Amazon SageMaker</t>
  </si>
  <si>
    <t>Integracion y mensajeria</t>
  </si>
  <si>
    <t>Amazon RDS</t>
  </si>
  <si>
    <t>Integracion y orquestacion</t>
  </si>
  <si>
    <t>Amazon DynamoDB</t>
  </si>
  <si>
    <t>Networking</t>
  </si>
  <si>
    <t>Amazon OpenSearch Service</t>
  </si>
  <si>
    <t>Seguridad</t>
  </si>
  <si>
    <t>Amazon S3</t>
  </si>
  <si>
    <t>Observabilidad</t>
  </si>
  <si>
    <t>Amazon ECR</t>
  </si>
  <si>
    <t>Gobierno y cumplimiento</t>
  </si>
  <si>
    <t>AWS Backup</t>
  </si>
  <si>
    <t>Operaciones y gestion</t>
  </si>
  <si>
    <t>Amazon QuickSight</t>
  </si>
  <si>
    <t>FinOps</t>
  </si>
  <si>
    <t>Amazon Athena</t>
  </si>
  <si>
    <t>Productividad de desarrollo</t>
  </si>
  <si>
    <t>AWS Glue</t>
  </si>
  <si>
    <t>Comunicaciones</t>
  </si>
  <si>
    <t>Amazon DataZone</t>
  </si>
  <si>
    <t>Soporte AWS</t>
  </si>
  <si>
    <t>Amazon Kinesis</t>
  </si>
  <si>
    <t>Marketplace y software de terceros</t>
  </si>
  <si>
    <t>Amazon SQS</t>
  </si>
  <si>
    <t>AWS Step Functions</t>
  </si>
  <si>
    <t>AWSEvents</t>
  </si>
  <si>
    <t>Amazon API Gateway</t>
  </si>
  <si>
    <t>Elastic Load Balancing</t>
  </si>
  <si>
    <t>Amazon VPC</t>
  </si>
  <si>
    <t>Amazon Route 53</t>
  </si>
  <si>
    <t>Amazon CloudFront</t>
  </si>
  <si>
    <t>AWS Data Transfer - Amazon S3</t>
  </si>
  <si>
    <t>AWS Data Transfer - Elastic Load Balancing</t>
  </si>
  <si>
    <t>AWS Data Transfer - AWS Lambda</t>
  </si>
  <si>
    <t>AWS Data Transfer - Amazon OpenSearch Service</t>
  </si>
  <si>
    <t>AWS Data Transfer - Amazon ECS / Fargate</t>
  </si>
  <si>
    <t>AWS Data Transfer - Amazon EC2</t>
  </si>
  <si>
    <t>AWS Data Transfer - AWS Step Functions</t>
  </si>
  <si>
    <t>AWS Data Transfer - Amazon Bedrock AgentCore</t>
  </si>
  <si>
    <t>AWS Data Transfer - Amazon ECR</t>
  </si>
  <si>
    <t>AWS Data Transfer - Amazon VPC</t>
  </si>
  <si>
    <t>AWS Data Transfer - Amazon SES</t>
  </si>
  <si>
    <t>AWS Data Transfer - Amazon RDS</t>
  </si>
  <si>
    <t>AWS Data Transfer - Amazon SQS</t>
  </si>
  <si>
    <t>AWS Data Transfer - Amazon SNS</t>
  </si>
  <si>
    <t>AWS Data Transfer - Amazon API Gateway</t>
  </si>
  <si>
    <t>AWS Data Transfer - AWSCloudShell</t>
  </si>
  <si>
    <t>AWS Data Transfer - AmazonGlacier</t>
  </si>
  <si>
    <t>AWS Data Transfer - AmazonSWF</t>
  </si>
  <si>
    <t>AWS WAF</t>
  </si>
  <si>
    <t>AWS Security Hub</t>
  </si>
  <si>
    <t>Amazon GuardDuty</t>
  </si>
  <si>
    <t>AWS KMS</t>
  </si>
  <si>
    <t>AWS Secrets Manager</t>
  </si>
  <si>
    <t>Amazon CloudWatch</t>
  </si>
  <si>
    <t>AWS CloudTrail</t>
  </si>
  <si>
    <t>AWS Config</t>
  </si>
  <si>
    <t>AWS Systems Manager</t>
  </si>
  <si>
    <t>AWS Cost Explorer</t>
  </si>
  <si>
    <t>AWS CodePipeline</t>
  </si>
  <si>
    <t>AWS CodeBuild</t>
  </si>
  <si>
    <t>Kiro</t>
  </si>
  <si>
    <t>Amazon SES</t>
  </si>
  <si>
    <t>AWS Enterprise Support</t>
  </si>
  <si>
    <t>9k9tovaf37rfq8jp9eik9i8ul</t>
  </si>
  <si>
    <t>Top servicio</t>
  </si>
  <si>
    <t>Top categoria</t>
  </si>
  <si>
    <t>HALLAZGOS EJECUTIVOS DINAMICOS</t>
  </si>
  <si>
    <t>Nota: los KPI, etiquetas y graficos se recalculan desde Detalle_facturado hasta la fila 100.000. El total facturable incluye licenciamiento; el costo AWS se conserva como metrica separada. El archivo no contiene un periodo comparable anterior, por lo que no se presenta variacion mensual.</t>
  </si>
  <si>
    <t>DETALLE COMPLETO POR CATEGORIA</t>
  </si>
  <si>
    <t>% del total</t>
  </si>
  <si>
    <t>Cuenta AWS</t>
  </si>
  <si>
    <t>Nombre de la cuenta</t>
  </si>
  <si>
    <t>Rubro</t>
  </si>
  <si>
    <t>Costo AWS (USD)</t>
  </si>
  <si>
    <t>Tasa de cambio (COP/USD)</t>
  </si>
  <si>
    <t>Costo AWS (COP)</t>
  </si>
  <si>
    <t>Costo licenciamiento (COP)</t>
  </si>
  <si>
    <t>Total facturable (COP)</t>
  </si>
  <si>
    <t>798406098406</t>
  </si>
  <si>
    <t>Procesamiento</t>
  </si>
  <si>
    <t>276553701208</t>
  </si>
  <si>
    <t>Plataforma - Ambiente de Pruebas</t>
  </si>
  <si>
    <t>938536499966</t>
  </si>
  <si>
    <t>Plataforma - Producción y Soporte</t>
  </si>
  <si>
    <t>697030116526</t>
  </si>
  <si>
    <t>895890050455</t>
  </si>
  <si>
    <t>329643319012</t>
  </si>
  <si>
    <t>640122371010</t>
  </si>
  <si>
    <t>639994152617</t>
  </si>
  <si>
    <t>Servicio AWS</t>
  </si>
  <si>
    <t>Código de producto AWS</t>
  </si>
  <si>
    <t>Código de servicio AWS</t>
  </si>
  <si>
    <t>Categoria principal</t>
  </si>
  <si>
    <t>3jkxki7g66gt6v02m7pqlqyyx</t>
  </si>
  <si>
    <t>AWSSupportEnterprise</t>
  </si>
  <si>
    <t>AmazonEC2</t>
  </si>
  <si>
    <t>Cómputo</t>
  </si>
  <si>
    <t>AmazonQuickSight</t>
  </si>
  <si>
    <t>Análitica y BI</t>
  </si>
  <si>
    <t>AmazonES</t>
  </si>
  <si>
    <t>Búsqueda y analítica</t>
  </si>
  <si>
    <t>AmazonECS</t>
  </si>
  <si>
    <t>AmazonRDS</t>
  </si>
  <si>
    <t>7g37zhparap7eesm9k78jrzqc</t>
  </si>
  <si>
    <t>7zgyu5r4uonlsrnaq20qq63eo</t>
  </si>
  <si>
    <t>AmazonCloudWatch</t>
  </si>
  <si>
    <t>AWSSystemsManager</t>
  </si>
  <si>
    <t>Operaciones y gestión</t>
  </si>
  <si>
    <t>AWSConfig</t>
  </si>
  <si>
    <t>AWSSecurityHub</t>
  </si>
  <si>
    <t>AWSELB</t>
  </si>
  <si>
    <t>Redes</t>
  </si>
  <si>
    <t>AmazonBedrockAgentCore</t>
  </si>
  <si>
    <t>AmazonVPC</t>
  </si>
  <si>
    <t>awswaf</t>
  </si>
  <si>
    <t>AWSCodePipeline</t>
  </si>
  <si>
    <t>AmazonDynamoDB</t>
  </si>
  <si>
    <t>AmazonKinesis</t>
  </si>
  <si>
    <t>CodeBuild</t>
  </si>
  <si>
    <t>AmazonECR</t>
  </si>
  <si>
    <t>AmazonS3</t>
  </si>
  <si>
    <t>AWSSecretsManager</t>
  </si>
  <si>
    <t>9svps415mdwhhoxlp2tx3hald</t>
  </si>
  <si>
    <t>AWSLambda</t>
  </si>
  <si>
    <t>awskms</t>
  </si>
  <si>
    <t>AmazonGuardDuty</t>
  </si>
  <si>
    <t>AWSCostExplorer</t>
  </si>
  <si>
    <t>AWSGlue</t>
  </si>
  <si>
    <t>AmazonStates</t>
  </si>
  <si>
    <t>AmazonRoute53</t>
  </si>
  <si>
    <t>AWSDataTransfer</t>
  </si>
  <si>
    <t>AmazonSageMaker</t>
  </si>
  <si>
    <t>AWSCloudTrail</t>
  </si>
  <si>
    <t>AmazonAthena</t>
  </si>
  <si>
    <t>AmazonApiGateway</t>
  </si>
  <si>
    <t>AWSQueueService</t>
  </si>
  <si>
    <t>AmazonDataZone</t>
  </si>
  <si>
    <t>5gx3s48zyaequjfyy22fed1k0</t>
  </si>
  <si>
    <t>AmazonSES</t>
  </si>
  <si>
    <t>AWSBackup</t>
  </si>
  <si>
    <t>AmazonCloudFront</t>
  </si>
  <si>
    <t>AmazonSNS</t>
  </si>
  <si>
    <t>AmazonBedrock</t>
  </si>
  <si>
    <t>AWSCloudShell</t>
  </si>
  <si>
    <t>AmazonGlacier</t>
  </si>
  <si>
    <t>AmazonSWF</t>
  </si>
  <si>
    <t>Modelo o detalle del servicio</t>
  </si>
  <si>
    <t>Concepto facturado por AWS</t>
  </si>
  <si>
    <t>Operación AWS</t>
  </si>
  <si>
    <t>Unidad de facturación</t>
  </si>
  <si>
    <t>Cantidad reportada por AWS</t>
  </si>
  <si>
    <t>USE1-MP:USE1_InputTokenCount_Global-Units</t>
  </si>
  <si>
    <t>InvokeModelInference</t>
  </si>
  <si>
    <t>1M tokens</t>
  </si>
  <si>
    <t>USE1-MP:USE1_InputTokenCount_Global_Batch-Units</t>
  </si>
  <si>
    <t>Dollar</t>
  </si>
  <si>
    <t>unidad CUR</t>
  </si>
  <si>
    <t>USE1-MP:USE1_OutputTokenCount_Global_Batch-Units</t>
  </si>
  <si>
    <t>USE1-MP:USE1_OutputTokenCount_Global-Units</t>
  </si>
  <si>
    <t>InvokeModelStreamingInference</t>
  </si>
  <si>
    <t>QS-User-Enterprise-Month</t>
  </si>
  <si>
    <t>Analítica y BI</t>
  </si>
  <si>
    <t>EBS:VolumeUsage.gp3</t>
  </si>
  <si>
    <t>CreateVolume-Gp3</t>
  </si>
  <si>
    <t>USE1-MP:USE1_CacheReadInputTokenCount-Units</t>
  </si>
  <si>
    <t>EBS:VolumeP-IOPS.gp3</t>
  </si>
  <si>
    <t>USE1-MP:USE1_CacheWriteInputTokenCount-Units</t>
  </si>
  <si>
    <t>USE1-Fargate-vCPU-Hours:perCPU</t>
  </si>
  <si>
    <t>FargateTask</t>
  </si>
  <si>
    <t>vCPU-hours</t>
  </si>
  <si>
    <t>USE1-Amazon-Q-QS-Fee</t>
  </si>
  <si>
    <t>USE1-AppConfig-Deployments</t>
  </si>
  <si>
    <t>GetLatestConfiguration</t>
  </si>
  <si>
    <t>USE1-SearchOCU</t>
  </si>
  <si>
    <t>SearchOCU</t>
  </si>
  <si>
    <t>ESInstance:m7g.large</t>
  </si>
  <si>
    <t>ESDomain</t>
  </si>
  <si>
    <t>USE1-Author-Pro-Enterprise-Month</t>
  </si>
  <si>
    <t>No-Operation</t>
  </si>
  <si>
    <t>USE1-MP:USE1_OutputTokenCount-Units</t>
  </si>
  <si>
    <t>Aurora:ServerlessV2Usage</t>
  </si>
  <si>
    <t>CreateDBInstance:0021</t>
  </si>
  <si>
    <t>ESInstance:c7g.large</t>
  </si>
  <si>
    <t>USE1-Fargate-ARM-vCPU-Hours:perCPU</t>
  </si>
  <si>
    <t>ConfigurationItemRecorded</t>
  </si>
  <si>
    <t>None</t>
  </si>
  <si>
    <t>ESInstance:m7g.medium</t>
  </si>
  <si>
    <t>USE1-CW:MetricsUsage</t>
  </si>
  <si>
    <t>MetricStorage:CI-ECS</t>
  </si>
  <si>
    <t>BoxUsage:r4.large</t>
  </si>
  <si>
    <t>RunInstances</t>
  </si>
  <si>
    <t>LoadBalancerUsage</t>
  </si>
  <si>
    <t>LoadBalancing:Application</t>
  </si>
  <si>
    <t>USE1-Runtime:Consumption-based:Memory</t>
  </si>
  <si>
    <t>Runtime</t>
  </si>
  <si>
    <t>GB-hours</t>
  </si>
  <si>
    <t>USE1-RDS:Proxy-ASv2-Usage</t>
  </si>
  <si>
    <t>CreateDBProxy:0021</t>
  </si>
  <si>
    <t>NatGateway-Hours</t>
  </si>
  <si>
    <t>NatGateway</t>
  </si>
  <si>
    <t>hours</t>
  </si>
  <si>
    <t>USE1-Reader-Enterprise-Month</t>
  </si>
  <si>
    <t>EBS:VolumeP-Throughput.gp3</t>
  </si>
  <si>
    <t>EBS:SnapshotUsage</t>
  </si>
  <si>
    <t>CreateSnapshot</t>
  </si>
  <si>
    <t>USE1-Reader-Pro-Enterprise-Month</t>
  </si>
  <si>
    <t>USE1-Fargate-GB-Hours</t>
  </si>
  <si>
    <t>BoxUsage:t3.large</t>
  </si>
  <si>
    <t>CPUCredits:t3</t>
  </si>
  <si>
    <t>WindowsT3CPUCredits</t>
  </si>
  <si>
    <t>USE1-IndexingOCU</t>
  </si>
  <si>
    <t>IndexingOCU</t>
  </si>
  <si>
    <t>Multi-AZUsage:db.t3.small</t>
  </si>
  <si>
    <t>CreateDBInstance:0014</t>
  </si>
  <si>
    <t>ADRES - PROD - Redes</t>
  </si>
  <si>
    <t>USE1-VpcEndpoint-Hours</t>
  </si>
  <si>
    <t>VpcEndpoint</t>
  </si>
  <si>
    <t>USE1-MonitoredFunction</t>
  </si>
  <si>
    <t>NoOperation</t>
  </si>
  <si>
    <t>USE1-Fargate-ARM-GB-Hours</t>
  </si>
  <si>
    <t>BoxUsage:t3.medium</t>
  </si>
  <si>
    <t>RunInstances:0002</t>
  </si>
  <si>
    <t>CW:MetricMonitorUsage</t>
  </si>
  <si>
    <t>MetricStorage:AWS/Logs-EMF</t>
  </si>
  <si>
    <t>Global-WebACLV2</t>
  </si>
  <si>
    <t>WebACLV2</t>
  </si>
  <si>
    <t>Multi-AZUsage:db.t4g.medium</t>
  </si>
  <si>
    <t>USE1-MonitoredEC2</t>
  </si>
  <si>
    <t>BoxUsage:t2.medium</t>
  </si>
  <si>
    <t>BoxUsage:t2.micro</t>
  </si>
  <si>
    <t>USE1-actionExecutionMinute</t>
  </si>
  <si>
    <t>OnDemand-StreamHour</t>
  </si>
  <si>
    <t>OnDemandStreamHr</t>
  </si>
  <si>
    <t>Integración y mensajería</t>
  </si>
  <si>
    <t>CW:AlarmMonitorUsage</t>
  </si>
  <si>
    <t>Unknown</t>
  </si>
  <si>
    <t>ESInstance:t3.small</t>
  </si>
  <si>
    <t>USE1-TransitGateway-Hours</t>
  </si>
  <si>
    <t>TransitGatewayVPC</t>
  </si>
  <si>
    <t>InstanceUsage:db.t4g.medium</t>
  </si>
  <si>
    <t>TimedStorage-ByteHrs</t>
  </si>
  <si>
    <t>GB</t>
  </si>
  <si>
    <t>USE1-KiroEnterprise-Pro</t>
  </si>
  <si>
    <t>monthly-subscription</t>
  </si>
  <si>
    <t>Global-RuleV2</t>
  </si>
  <si>
    <t>RuleV2</t>
  </si>
  <si>
    <t>InstanceUsage:db.t4g.micro</t>
  </si>
  <si>
    <t>InstanceUsage:db.t4g.small</t>
  </si>
  <si>
    <t>USE1-CW:Canary-runs</t>
  </si>
  <si>
    <t>run</t>
  </si>
  <si>
    <t>USE1-DataProcessing-Bytes</t>
  </si>
  <si>
    <t>PutLogEvents</t>
  </si>
  <si>
    <t>USE1-AWSSecretsManager-Secrets</t>
  </si>
  <si>
    <t>SecretUsage</t>
  </si>
  <si>
    <t>Global-MonitoredIAMRole</t>
  </si>
  <si>
    <t>aws-partition</t>
  </si>
  <si>
    <t>Multi-AZUsage:db.t3.micro</t>
  </si>
  <si>
    <t>TimedAlmacenamiento-ByteHrs</t>
  </si>
  <si>
    <t>StandardAlmacenamiento</t>
  </si>
  <si>
    <t>Almacenamiento</t>
  </si>
  <si>
    <t>USE1-MonitoredContainerImage</t>
  </si>
  <si>
    <t>USE1-Runtime:Consumption-based:vCPU</t>
  </si>
  <si>
    <t>USE1-Build-Min:ARM:g1.small</t>
  </si>
  <si>
    <t>Build</t>
  </si>
  <si>
    <t>SoftwareUsage:t2.medium</t>
  </si>
  <si>
    <t>Hourly</t>
  </si>
  <si>
    <t>USE1-EventsAnalyzed</t>
  </si>
  <si>
    <t>GuardDuty-CloudTrailEvents</t>
  </si>
  <si>
    <t>USE1-MP:USE1_InputTokenCount-Units</t>
  </si>
  <si>
    <t>InstanceUsage:db.t3.micro</t>
  </si>
  <si>
    <t>TransitGatewayVPN</t>
  </si>
  <si>
    <t>VPN-Usage-Hours:ipsec.1</t>
  </si>
  <si>
    <t>CreateVpnConnection</t>
  </si>
  <si>
    <t>WriteCapacityUnit-Hrs</t>
  </si>
  <si>
    <t>CommittedThroughput</t>
  </si>
  <si>
    <t>us-east-1-KMS-Keys</t>
  </si>
  <si>
    <t>CurrentKeys</t>
  </si>
  <si>
    <t>ReadRequestUnits</t>
  </si>
  <si>
    <t>PayPerRequestThroughput</t>
  </si>
  <si>
    <t>requests</t>
  </si>
  <si>
    <t>Lambda-GB-Second</t>
  </si>
  <si>
    <t>Invoke</t>
  </si>
  <si>
    <t>USE1-KiroEnterprise-ProPlus</t>
  </si>
  <si>
    <t>USE1-PaidRDSvCPUMonitored</t>
  </si>
  <si>
    <t>USE1-Build-Min:Linux:g1.small</t>
  </si>
  <si>
    <t>Requests-Tier1</t>
  </si>
  <si>
    <t>PutObject</t>
  </si>
  <si>
    <t>DashboardsUsageHour-Basic</t>
  </si>
  <si>
    <t>DashboardHour</t>
  </si>
  <si>
    <t>MetricStorage</t>
  </si>
  <si>
    <t>us-east-1-KMS-Requests</t>
  </si>
  <si>
    <t>Decrypt</t>
  </si>
  <si>
    <t>ES:GP3-Storage</t>
  </si>
  <si>
    <t>GB-month</t>
  </si>
  <si>
    <t>USE1-Crawler-DPU-Hour</t>
  </si>
  <si>
    <t>CrawlerRun</t>
  </si>
  <si>
    <t>USE1-CostDataStorage</t>
  </si>
  <si>
    <t>CostDataStorage</t>
  </si>
  <si>
    <t>DashboardsUsageHour</t>
  </si>
  <si>
    <t>RDS:Multi-AZ-GP2-Storage</t>
  </si>
  <si>
    <t>RDS:GP3-Storage</t>
  </si>
  <si>
    <t>USE1-Build-Min:ARM:g1.medium</t>
  </si>
  <si>
    <t>USE1-LogsAnalyzedBytes</t>
  </si>
  <si>
    <t>GuardDuty-S3DataEvents</t>
  </si>
  <si>
    <t>Lambda-GB-Second-ARM</t>
  </si>
  <si>
    <t>USE1-StateTransition</t>
  </si>
  <si>
    <t>Task</t>
  </si>
  <si>
    <t>Integración y orquestación</t>
  </si>
  <si>
    <t>USE1-MP:USE1_CacheWrite1hInputTokenCount-Units</t>
  </si>
  <si>
    <t>Aurora:StorageIOUsage</t>
  </si>
  <si>
    <t>USE1-PublicIPv4:IdleAddress</t>
  </si>
  <si>
    <t>AllocateAddressVPC</t>
  </si>
  <si>
    <t>USE1-MonitoredFunctionCode</t>
  </si>
  <si>
    <t>EBS:VolumeUsage.gp2</t>
  </si>
  <si>
    <t>CreateVolume-Gp2</t>
  </si>
  <si>
    <t>BoxUsage:t4g.nano</t>
  </si>
  <si>
    <t>USE1-PublicIPv4:InUseAddress</t>
  </si>
  <si>
    <t>MetricStorage:AWS/ApiGateway</t>
  </si>
  <si>
    <t>RDS:GP2-Storage</t>
  </si>
  <si>
    <t>MetricStorage:AWS/CloudFront</t>
  </si>
  <si>
    <t>ReadCapacityUnit-Hrs</t>
  </si>
  <si>
    <t>USE1-AWSSecretsManagerAPIRequest</t>
  </si>
  <si>
    <t>GetSecretValue</t>
  </si>
  <si>
    <t>Global-MonitoredIAMUser</t>
  </si>
  <si>
    <t>HostedZone</t>
  </si>
  <si>
    <t>USE1-TimedStorage-ByteHrs</t>
  </si>
  <si>
    <t>HourlyStorageMetering</t>
  </si>
  <si>
    <t>USE1-Studio:VolumeUsage.gp3</t>
  </si>
  <si>
    <t>RDS:Multi-AZ-GP3-Storage</t>
  </si>
  <si>
    <t>ListBucket</t>
  </si>
  <si>
    <t>DataTransfer-Out-Bytes</t>
  </si>
  <si>
    <t>GetObject</t>
  </si>
  <si>
    <t>USE1-ETL-DPU-Hour</t>
  </si>
  <si>
    <t>Jobrun</t>
  </si>
  <si>
    <t>USE1-Fargate-EphemeralStorage-GB-Hours</t>
  </si>
  <si>
    <t>USE1-DataEventsRecorded</t>
  </si>
  <si>
    <t>NatGateway-Bytes</t>
  </si>
  <si>
    <t>MetricStorage:AWS/S3</t>
  </si>
  <si>
    <t>RDS:ChargedBackupUsage</t>
  </si>
  <si>
    <t>USE1-QuickSuite-Index</t>
  </si>
  <si>
    <t>Index</t>
  </si>
  <si>
    <t>USE2-Build-Min:Linux:g1.small</t>
  </si>
  <si>
    <t>Requests-Tier2</t>
  </si>
  <si>
    <t>WriteRequestUnits</t>
  </si>
  <si>
    <t>USE1-S3-Egress-Bytes</t>
  </si>
  <si>
    <t>LogDelivery</t>
  </si>
  <si>
    <t>USE1-DataScannedInTB</t>
  </si>
  <si>
    <t>PRESTO_QUERY</t>
  </si>
  <si>
    <t>USE1-VendedLog-Bytes</t>
  </si>
  <si>
    <t>USE1-APIRequest</t>
  </si>
  <si>
    <t>GetCostAndUsage</t>
  </si>
  <si>
    <t>LCUUsage</t>
  </si>
  <si>
    <t>LCU-hours</t>
  </si>
  <si>
    <t>DataTransfer-Regional-Bytes</t>
  </si>
  <si>
    <t>LoadBalancing-PublicIP-Out</t>
  </si>
  <si>
    <t>USE1-ApiGatewayRequest</t>
  </si>
  <si>
    <t>ApiGatewayRequest</t>
  </si>
  <si>
    <t>Requests-RBP</t>
  </si>
  <si>
    <t>Receive</t>
  </si>
  <si>
    <t>USE1-PaidRDSACUMonitored</t>
  </si>
  <si>
    <t>GuardDuty-LambdaNetworkLogs</t>
  </si>
  <si>
    <t>Global-DataZoneCompute</t>
  </si>
  <si>
    <t>Ingestion</t>
  </si>
  <si>
    <t>Map</t>
  </si>
  <si>
    <t>LoadBalancing-PublicIP-In</t>
  </si>
  <si>
    <t>ExecutionCompleted</t>
  </si>
  <si>
    <t>ExecutionStarted</t>
  </si>
  <si>
    <t>Parallel</t>
  </si>
  <si>
    <t>Choice</t>
  </si>
  <si>
    <t>Requests-SIA-Tier1</t>
  </si>
  <si>
    <t>USE1-PaidComplianceCheck</t>
  </si>
  <si>
    <t>GenerateDataKey</t>
  </si>
  <si>
    <t>GuardDuty-VPCFlowLogsDNSLogs</t>
  </si>
  <si>
    <t>GetDimensionValues</t>
  </si>
  <si>
    <t>WriteObjectLockLegalHold</t>
  </si>
  <si>
    <t>Pass</t>
  </si>
  <si>
    <t>BoxUsage:t4g.micro</t>
  </si>
  <si>
    <t>USE1-TransitGateway-Bytes</t>
  </si>
  <si>
    <t>USE1-S3-Egress-InputBytes</t>
  </si>
  <si>
    <t>ParquetConversion</t>
  </si>
  <si>
    <t>USE1-MP:USE1_cache_write_tokens_standard-Units</t>
  </si>
  <si>
    <t>USE1-AppConfig-Requests</t>
  </si>
  <si>
    <t>USE1-VpcEndpoint-Bytes</t>
  </si>
  <si>
    <t>StateRetry</t>
  </si>
  <si>
    <t>Recipients-EC2</t>
  </si>
  <si>
    <t>Send</t>
  </si>
  <si>
    <t>UploadPart</t>
  </si>
  <si>
    <t>HeadObject</t>
  </si>
  <si>
    <t>USE1-StorageUsedInS3ByteHour</t>
  </si>
  <si>
    <t>StorageUsedInS3ByteHour</t>
  </si>
  <si>
    <t>USE1-TimedPITRStorage-ByteHrs</t>
  </si>
  <si>
    <t>StandardPitrBackupStorage</t>
  </si>
  <si>
    <t>GetQueueAttributes</t>
  </si>
  <si>
    <t>LoadBalancing:Network</t>
  </si>
  <si>
    <t>MetricStorage:AWS/CloudWatchLogs</t>
  </si>
  <si>
    <t>USE1-Essentials-Outbound-Email</t>
  </si>
  <si>
    <t>Request-ARM</t>
  </si>
  <si>
    <t>Global-RequestV2-Tier1</t>
  </si>
  <si>
    <t>CF</t>
  </si>
  <si>
    <t>USE1-WarmStorage-ByteHrs-DynamoDB</t>
  </si>
  <si>
    <t>Shutdown</t>
  </si>
  <si>
    <t>Request</t>
  </si>
  <si>
    <t>USE1-VendedLog-Bytes-CFLogs</t>
  </si>
  <si>
    <t>RuntimeBuiltInToolsVPCEgress</t>
  </si>
  <si>
    <t>ReadLocation</t>
  </si>
  <si>
    <t>TagAlmacenamiento-TagHrs</t>
  </si>
  <si>
    <t>ObjectTagCount</t>
  </si>
  <si>
    <t>USE2-AWSSecretsManager-Secrets</t>
  </si>
  <si>
    <t>Aurora:BackupUsage</t>
  </si>
  <si>
    <t>LoadBalancing</t>
  </si>
  <si>
    <t>PublicIP-In</t>
  </si>
  <si>
    <t>CW:MetricInsightAlarmUsage</t>
  </si>
  <si>
    <t>GetMetricData</t>
  </si>
  <si>
    <t>downloadLayer</t>
  </si>
  <si>
    <t>Global-DataZoneStorage</t>
  </si>
  <si>
    <t>USE1-DataScanned-Bytes</t>
  </si>
  <si>
    <t>StartQuery</t>
  </si>
  <si>
    <t>InitiateMultipartUpload</t>
  </si>
  <si>
    <t>CompleteMultipartUpload</t>
  </si>
  <si>
    <t>Aurora:StorageUsage</t>
  </si>
  <si>
    <t>AttachmentsSize-Bytes</t>
  </si>
  <si>
    <t>SendMessageBatch</t>
  </si>
  <si>
    <t>TimedAlmacenamiento-SIA-SmObjects</t>
  </si>
  <si>
    <t>StandardIASizeOverhead</t>
  </si>
  <si>
    <t>USE2-Build-Min:Linux:g1.medium</t>
  </si>
  <si>
    <t>DescribeKey</t>
  </si>
  <si>
    <t>StateRedrive</t>
  </si>
  <si>
    <t>CW:GMD-Metrics</t>
  </si>
  <si>
    <t>ExecutionRedriven</t>
  </si>
  <si>
    <t>HeadBucket</t>
  </si>
  <si>
    <t>CopyObject</t>
  </si>
  <si>
    <t>USE1-TimedBackupStorage-ByteHrs</t>
  </si>
  <si>
    <t>BackupStorage</t>
  </si>
  <si>
    <t>USE1-PaidEventsRecorded</t>
  </si>
  <si>
    <t>Fail</t>
  </si>
  <si>
    <t>SendRawEmail</t>
  </si>
  <si>
    <t>USE1-VendedLogIA-Bytes</t>
  </si>
  <si>
    <t>ListSecrets</t>
  </si>
  <si>
    <t>Lambda-Storage-GB-Second</t>
  </si>
  <si>
    <t>ListAllMyBuckets</t>
  </si>
  <si>
    <t>Requests-SIA-Tier2</t>
  </si>
  <si>
    <t>ReadACL</t>
  </si>
  <si>
    <t>USE1-ApiGatewayMessage</t>
  </si>
  <si>
    <t>ApiGatewayWebSocket</t>
  </si>
  <si>
    <t>USE1-ApiGatewayMinute</t>
  </si>
  <si>
    <t>Not Applicable</t>
  </si>
  <si>
    <t>GetKeyRotationStatus</t>
  </si>
  <si>
    <t>USE2-Build-Min:ARM:g1.small</t>
  </si>
  <si>
    <t>GetKeyPolicy</t>
  </si>
  <si>
    <t>Wait</t>
  </si>
  <si>
    <t>PublicIP-Out</t>
  </si>
  <si>
    <t>DescribeSecret</t>
  </si>
  <si>
    <t>ReadLogProps</t>
  </si>
  <si>
    <t>DeleteMessageBatch</t>
  </si>
  <si>
    <t>CreateDBInstance</t>
  </si>
  <si>
    <t>ListResourceTags</t>
  </si>
  <si>
    <t>ReadBucketLifecycle</t>
  </si>
  <si>
    <t>Lambda-Storage-GB-Second-ARM</t>
  </si>
  <si>
    <t>ListAliases</t>
  </si>
  <si>
    <t>ChangeMessageVisibilityBatch</t>
  </si>
  <si>
    <t>DeleteMessage</t>
  </si>
  <si>
    <t>SA-DataTransfer-Out-OBytes</t>
  </si>
  <si>
    <t>POST</t>
  </si>
  <si>
    <t>USE1-MP:USE1_output_tokens_standard-Units</t>
  </si>
  <si>
    <t>US-DataTransfer-Out-OBytes</t>
  </si>
  <si>
    <t>ReadBucketServerSideEncryption</t>
  </si>
  <si>
    <t>GetResourcePolicy</t>
  </si>
  <si>
    <t>GetConfiguration</t>
  </si>
  <si>
    <t>ReadVersioningProps</t>
  </si>
  <si>
    <t>Succeed</t>
  </si>
  <si>
    <t>ReadBucketPublicAccessBlock</t>
  </si>
  <si>
    <t>USE1-USW2-AWS-Out-Bytes</t>
  </si>
  <si>
    <t>TimedAlmacenamiento-SIA-ByteHrs</t>
  </si>
  <si>
    <t>StandardIAAlmacenamiento</t>
  </si>
  <si>
    <t>ListQueueTags</t>
  </si>
  <si>
    <t>ReadBucketOwnershipControls</t>
  </si>
  <si>
    <t>USE2-DataProcessing-Bytes</t>
  </si>
  <si>
    <t>ReadBucketReplication</t>
  </si>
  <si>
    <t>ReadBucketInventory</t>
  </si>
  <si>
    <t>ListBucketTags</t>
  </si>
  <si>
    <t>GetBucketMetadataConfig</t>
  </si>
  <si>
    <t>ListLensConfigurations</t>
  </si>
  <si>
    <t>ReadNotificationProps</t>
  </si>
  <si>
    <t>ReadBucketIntelligentTiering</t>
  </si>
  <si>
    <t>ReadAccelerate</t>
  </si>
  <si>
    <t>ReadBucketCors</t>
  </si>
  <si>
    <t>ReadBucketAnalytics</t>
  </si>
  <si>
    <t>GetBucketAntuConfiguration</t>
  </si>
  <si>
    <t>ReadBucketMetrics</t>
  </si>
  <si>
    <t>ReadBucketAbac</t>
  </si>
  <si>
    <t>ListAllMyDirectoryBuckets</t>
  </si>
  <si>
    <t>Retrieval-SIA</t>
  </si>
  <si>
    <t>List</t>
  </si>
  <si>
    <t>ListAlmacenamientoLensGroups</t>
  </si>
  <si>
    <t>ListKeys</t>
  </si>
  <si>
    <t>PUT</t>
  </si>
  <si>
    <t>JP-DataTransfer-Out-OBytes</t>
  </si>
  <si>
    <t>Requests-Annotation-Tier1</t>
  </si>
  <si>
    <t>ListObjectAnnotations</t>
  </si>
  <si>
    <t>DNS-Queries</t>
  </si>
  <si>
    <t>A</t>
  </si>
  <si>
    <t>USE1-ExportDataSize-Bytes</t>
  </si>
  <si>
    <t>ExportTable</t>
  </si>
  <si>
    <t>EU-DataTransfer-Out-OBytes</t>
  </si>
  <si>
    <t>USE2-Requests-Tier2</t>
  </si>
  <si>
    <t>ListBucketVersions</t>
  </si>
  <si>
    <t>ReadBucketPolicyStatus</t>
  </si>
  <si>
    <t>ListSecretVersionIds</t>
  </si>
  <si>
    <t>WriteCostAllocation</t>
  </si>
  <si>
    <t>CopyPart</t>
  </si>
  <si>
    <t>USE2-AWSSecretsManagerAPIRequest</t>
  </si>
  <si>
    <t>USE1-MP:USE1_input_tokens_standard-Units</t>
  </si>
  <si>
    <t>TXT</t>
  </si>
  <si>
    <t>NS</t>
  </si>
  <si>
    <t>GetKeyLastUsage</t>
  </si>
  <si>
    <t>AAAA</t>
  </si>
  <si>
    <t>Notification</t>
  </si>
  <si>
    <t>USE1-APS1-AWS-Out-Bytes</t>
  </si>
  <si>
    <t>TagBucket</t>
  </si>
  <si>
    <t>ReadCostAllocation</t>
  </si>
  <si>
    <t>MX</t>
  </si>
  <si>
    <t>PutSecretValue</t>
  </si>
  <si>
    <t>EU-PaidEventsRecorded</t>
  </si>
  <si>
    <t>USE1-OC-API-Requests-Tier1</t>
  </si>
  <si>
    <t>DescribeOpsItems</t>
  </si>
  <si>
    <t>GetOpsSummary</t>
  </si>
  <si>
    <t>ReadAccountPublicAccessBlock</t>
  </si>
  <si>
    <t>GetQueueUrl</t>
  </si>
  <si>
    <t>ReadBucketWebsite</t>
  </si>
  <si>
    <t>CAA</t>
  </si>
  <si>
    <t>APN3-AWSSecretsManagerAPIRequest</t>
  </si>
  <si>
    <t>CAN1-AWSSecretsManagerAPIRequest</t>
  </si>
  <si>
    <t>USE1-EUN1-AWS-Out-Bytes</t>
  </si>
  <si>
    <t>CNAME</t>
  </si>
  <si>
    <t>WriteBucketLifecycle</t>
  </si>
  <si>
    <t>APS2-AWSSecretsManagerAPIRequest</t>
  </si>
  <si>
    <t>APN1-AWSSecretsManagerAPIRequest</t>
  </si>
  <si>
    <t>APN2-AWSSecretsManagerAPIRequest</t>
  </si>
  <si>
    <t>EU-AWSSecretsManager-APIRequests</t>
  </si>
  <si>
    <t>EUC1-AWSSecretsManagerAPIRequest</t>
  </si>
  <si>
    <t>SAE1-AWSSecretsManagerAPIRequest</t>
  </si>
  <si>
    <t>EUW3-AWSSecretsManagerAPIRequest</t>
  </si>
  <si>
    <t>EUW2-AWSSecretsManagerAPIRequest</t>
  </si>
  <si>
    <t>USW1-AWSSecretsManagerAPIRequest</t>
  </si>
  <si>
    <t>USW2-AWSSecretsManagerAPIRequest</t>
  </si>
  <si>
    <t>ap-south-1-KMS-Requests</t>
  </si>
  <si>
    <t>WriteBucketServerSideEncryption</t>
  </si>
  <si>
    <t>ListGrants</t>
  </si>
  <si>
    <t>us-east-2-KMS-Requests</t>
  </si>
  <si>
    <t>WriteBucketPublicAccessBlock</t>
  </si>
  <si>
    <t>CreateBucket</t>
  </si>
  <si>
    <t>DeleteSecret</t>
  </si>
  <si>
    <t>CreateSecret</t>
  </si>
  <si>
    <t>WriteBucketPolicy</t>
  </si>
  <si>
    <t>UpdateSecret</t>
  </si>
  <si>
    <t>APS3-AWSSecretsManagerAPIRequest</t>
  </si>
  <si>
    <t>EUN1-AWSSecretsManagerAPIRequest</t>
  </si>
  <si>
    <t>UntagResource</t>
  </si>
  <si>
    <t>APS1-AWSSecretsManagerAPIRequest</t>
  </si>
  <si>
    <t>TagResource</t>
  </si>
  <si>
    <t>USE1-EUC1-AWS-Out-Bytes</t>
  </si>
  <si>
    <t>ReadBucketPolicy</t>
  </si>
  <si>
    <t>SOA</t>
  </si>
  <si>
    <t>USE1-USE2-AWS-Out-Bytes</t>
  </si>
  <si>
    <t>ListDeadLetterSourceQueues</t>
  </si>
  <si>
    <t>USE1-CAN1-AWS-Out-Bytes</t>
  </si>
  <si>
    <t>ListKeyRotations</t>
  </si>
  <si>
    <t>AP-DataTransfer-Out-OBytes</t>
  </si>
  <si>
    <t>ReadBucketObjectLockConfig</t>
  </si>
  <si>
    <t>USE1-EUW2-AWS-Out-Bytes</t>
  </si>
  <si>
    <t>USE1-APS3-AWS-Out-Bytes</t>
  </si>
  <si>
    <t>USE1-APS2-AWS-Out-Bytes</t>
  </si>
  <si>
    <t>OPTIONS</t>
  </si>
  <si>
    <t>ReadObjectTagging</t>
  </si>
  <si>
    <t>EUC1-Requests-Tier1</t>
  </si>
  <si>
    <t>ap-northeast-1-KMS-Requests</t>
  </si>
  <si>
    <t>InterZone-In</t>
  </si>
  <si>
    <t>EU-Requests-Tier1</t>
  </si>
  <si>
    <t>eu-west-2-KMS-Requests</t>
  </si>
  <si>
    <t>eu-west-3-KMS-Requests</t>
  </si>
  <si>
    <t>ap-northeast-2-KMS-Requests</t>
  </si>
  <si>
    <t>ap-northeast-3-KMS-Requests</t>
  </si>
  <si>
    <t>ca-central-1-KMS-Requests</t>
  </si>
  <si>
    <t>sa-east-1-KMS-Requests</t>
  </si>
  <si>
    <t>eu-west-1-KMS-Requests</t>
  </si>
  <si>
    <t>us-west-1-KMS-Requests</t>
  </si>
  <si>
    <t>eu-north-1-KMS-Requests</t>
  </si>
  <si>
    <t>eu-central-1-KMS-Requests</t>
  </si>
  <si>
    <t>us-west-2-KMS-Requests</t>
  </si>
  <si>
    <t>ap-southeast-2-KMS-Requests</t>
  </si>
  <si>
    <t>ap-southeast-1-KMS-Requests</t>
  </si>
  <si>
    <t>USE1-EUW3-AWS-Out-Bytes</t>
  </si>
  <si>
    <t>USE1-SAE1-AWS-Out-Bytes</t>
  </si>
  <si>
    <t>USE1-USW1-AWS-Out-Bytes</t>
  </si>
  <si>
    <t>USE1-APN3-AWS-Out-Bytes</t>
  </si>
  <si>
    <t>USE1-APN1-AWS-Out-Bytes</t>
  </si>
  <si>
    <t>USE1-APN2-AWS-Out-Bytes</t>
  </si>
  <si>
    <t>USE1-EU-AWS-Out-Bytes</t>
  </si>
  <si>
    <t>USW2-Requests-Tier1</t>
  </si>
  <si>
    <t>WriteVersioningProps</t>
  </si>
  <si>
    <t>CreateGrant</t>
  </si>
  <si>
    <t>APN1-Requests-Tier1</t>
  </si>
  <si>
    <t>ListAGInstanceTags</t>
  </si>
  <si>
    <t>GetLensConfigurationTagging</t>
  </si>
  <si>
    <t>GetLensConfiguration</t>
  </si>
  <si>
    <t>ListAGInstanceLocationTags</t>
  </si>
  <si>
    <t>USE2-TimedStorage-ByteHrs</t>
  </si>
  <si>
    <t>HTTPS</t>
  </si>
  <si>
    <t>PutKeyPolicy</t>
  </si>
  <si>
    <t>SRV</t>
  </si>
  <si>
    <t>ListMRAPs</t>
  </si>
  <si>
    <t>USE2-Requests-Tier1</t>
  </si>
  <si>
    <t>EUN1-Requests-Tier1</t>
  </si>
  <si>
    <t>ListMessageMoveTasks</t>
  </si>
  <si>
    <t>ChgVis</t>
  </si>
  <si>
    <t>CancelKeyDeletion</t>
  </si>
  <si>
    <t>ScheduleKeyDeletion</t>
  </si>
  <si>
    <t>EnableKey</t>
  </si>
  <si>
    <t>CreateKey</t>
  </si>
  <si>
    <t>CreateAlias</t>
  </si>
  <si>
    <t>InterZone-Out</t>
  </si>
  <si>
    <t>GetRandomPassword</t>
  </si>
  <si>
    <t>WriteBucketMetrics</t>
  </si>
  <si>
    <t>WriteBucketObjectLockConfig</t>
  </si>
  <si>
    <t>WriteBucketCors</t>
  </si>
  <si>
    <t>ReadObjectLockLegalHold</t>
  </si>
  <si>
    <t>ReadRequestPaymentProps</t>
  </si>
  <si>
    <t>ANY</t>
  </si>
  <si>
    <t>Create</t>
  </si>
  <si>
    <t>DeleteQueue</t>
  </si>
  <si>
    <t>nvidia.nemotron-super-3-120b</t>
  </si>
  <si>
    <t>USE1-nvidia.nemotron-super-3-120b-input-tokens</t>
  </si>
  <si>
    <t>1K tokens</t>
  </si>
  <si>
    <t>DescribeCustomKeyStores</t>
  </si>
  <si>
    <t>DeleteAlias</t>
  </si>
  <si>
    <t>Encrypt</t>
  </si>
  <si>
    <t>EnableKeyRotation</t>
  </si>
  <si>
    <t>PurgeQueue</t>
  </si>
  <si>
    <t>EUW2-Requests-Tier1</t>
  </si>
  <si>
    <t>APS3-Requests-Tier1</t>
  </si>
  <si>
    <t>APN3-Requests-Tier1</t>
  </si>
  <si>
    <t>StartMessageMoveTask</t>
  </si>
  <si>
    <t>APN2-Requests-Tier1</t>
  </si>
  <si>
    <t>CAN1-Requests-Tier1</t>
  </si>
  <si>
    <t>APS2-Requests-Tier1</t>
  </si>
  <si>
    <t>APS1-Requests-Tier1</t>
  </si>
  <si>
    <t>USW1-Requests-Tier1</t>
  </si>
  <si>
    <t>SAE1-Requests-Tier1</t>
  </si>
  <si>
    <t>EUW3-Requests-Tier1</t>
  </si>
  <si>
    <t>USE1-Request-64K-Chunks</t>
  </si>
  <si>
    <t>PipeRequest</t>
  </si>
  <si>
    <t>CloudShell data transfer</t>
  </si>
  <si>
    <t>SetQueueAttributes</t>
  </si>
  <si>
    <t>TagQueue</t>
  </si>
  <si>
    <t>DELETE</t>
  </si>
  <si>
    <t>USE1-nvidia.nemotron-super-3-120b-output-tokens</t>
  </si>
  <si>
    <t>ListTopics</t>
  </si>
  <si>
    <t>ListSubscriptions</t>
  </si>
  <si>
    <t>USE1-Streams-Requests</t>
  </si>
  <si>
    <t>GetRecords</t>
  </si>
  <si>
    <t>SubscriptionConfirmation</t>
  </si>
  <si>
    <t>IN-DataTransfer-Out-OBytes</t>
  </si>
  <si>
    <t>USW1-DataTransfer-Out-Bytes</t>
  </si>
  <si>
    <t>ListSubscriptionsByTopic</t>
  </si>
  <si>
    <t>CA-DataTransfer-Out-OBytes</t>
  </si>
  <si>
    <t>USE2-DataTransfer-Out-Bytes</t>
  </si>
  <si>
    <t>USE2-USW1-AWS-Out-Bytes</t>
  </si>
  <si>
    <t>USE2-EUN1-AWS-Out-Bytes</t>
  </si>
  <si>
    <t>USE2-EU-AWS-Out-Bytes</t>
  </si>
  <si>
    <t>USE2-APN1-AWS-Out-Bytes</t>
  </si>
  <si>
    <t>USE2-APN2-AWS-Out-Bytes</t>
  </si>
  <si>
    <t>USE2-USW2-AWS-Out-Bytes</t>
  </si>
  <si>
    <t>USE2-EUW2-AWS-Out-Bytes</t>
  </si>
  <si>
    <t>USE2-EUW3-AWS-Out-Bytes</t>
  </si>
  <si>
    <t>USE2-EUC1-AWS-Out-Bytes</t>
  </si>
  <si>
    <t>USE2-APS2-AWS-Out-Bytes</t>
  </si>
  <si>
    <t>USE2-CAN1-AWS-Out-Bytes</t>
  </si>
  <si>
    <t>USE2-APS3-AWS-Out-Bytes</t>
  </si>
  <si>
    <t>USE2-APN3-AWS-Out-Bytes</t>
  </si>
  <si>
    <t>USE2-APS1-AWS-Out-Bytes</t>
  </si>
  <si>
    <t>USE2-SAE1-AWS-Out-Bytes</t>
  </si>
  <si>
    <t>USE2-USE1-AWS-Out-Bytes</t>
  </si>
  <si>
    <t>ListVaults</t>
  </si>
  <si>
    <t>ZA-DataTransfer-Out-OBytes</t>
  </si>
  <si>
    <t>USE1-APE1-AWS-Out-Bytes</t>
  </si>
  <si>
    <t>USE1-TPE1-AWS-Out-Bytes</t>
  </si>
  <si>
    <t>USE1-EUS1-AWS-Out-Bytes</t>
  </si>
  <si>
    <t>GET</t>
  </si>
  <si>
    <t>USE1-ILC1-AWS-Out-Bytes</t>
  </si>
  <si>
    <t>USE1-CCU1-AWS-Out-Bytes</t>
  </si>
  <si>
    <t>USE1-PER1-AWS-Out-Bytes</t>
  </si>
  <si>
    <t>ListStorageLensGroups</t>
  </si>
  <si>
    <t>USE1-MXC1-AWS-Out-Bytes</t>
  </si>
  <si>
    <t>DeleteObject</t>
  </si>
  <si>
    <t>ListAccessPoints</t>
  </si>
  <si>
    <t>USE1-HAM1-AWS-Out-Bytes</t>
  </si>
  <si>
    <t>USE1-DEL1-AWS-Out-Bytes</t>
  </si>
  <si>
    <t>USE1-BKK1-AWS-Out-Bytes</t>
  </si>
  <si>
    <t>USE1-LOS1-AWS-Out-Bytes</t>
  </si>
  <si>
    <t>USE1-WAW1-AWS-Out-Bytes</t>
  </si>
  <si>
    <t>Categoría</t>
  </si>
  <si>
    <t>Procesamiento + Plataforma Producción y Soporte</t>
  </si>
  <si>
    <t>Otros rubros</t>
  </si>
  <si>
    <t>Total</t>
  </si>
  <si>
    <t>Fecha y hora de inicio</t>
  </si>
  <si>
    <t>Fecha y hora de fin</t>
  </si>
  <si>
    <t>Tipo de cargo AWS</t>
  </si>
  <si>
    <t>Descripción del cargo AWS</t>
  </si>
  <si>
    <t>Moneda original</t>
  </si>
  <si>
    <t>Regla de atribución</t>
  </si>
  <si>
    <t>Centro de costo</t>
  </si>
  <si>
    <t>Proyecto</t>
  </si>
  <si>
    <t>Aplicación</t>
  </si>
  <si>
    <t>Usage</t>
  </si>
  <si>
    <t>$0.02 per GB - US East (Northern Virginia) data transfer to Canada (Central)</t>
  </si>
  <si>
    <t>Cuenta condicionada + P2847</t>
  </si>
  <si>
    <t>P2847</t>
  </si>
  <si>
    <t>IntelligentAuditEngine</t>
  </si>
  <si>
    <t>USD 0.02 per GB for EUN1-AWS-Out-Bytes in EU (Stockholm)</t>
  </si>
  <si>
    <t>$0.02 per GB - US East (Northern Virginia) data transfer to EU (London)</t>
  </si>
  <si>
    <t>$0.02 per GB - US East (Northern Virginia) data transfer to US West (Oregon)</t>
  </si>
  <si>
    <t>$0.02 per GB - US East (Northern Virginia) data transfer to EU (Ireland)</t>
  </si>
  <si>
    <t>$0.02 per GB - US East (Northern Virginia) data transfer to Asia Pacific (Seoul)</t>
  </si>
  <si>
    <t>$0.02 per GB - US East (Northern Virginia) data transfer to Asia Pacific (Tokyo)</t>
  </si>
  <si>
    <t>$0.02 per GB - US East (Northern Virginia) data transfer to EU (Germany)</t>
  </si>
  <si>
    <t>$0.02 per GB - US East (Northern Virginia) data transfer to Asia Pacific (Sydney)</t>
  </si>
  <si>
    <t>$0.02 per GB - US East (Northern Virginia) data transfer to South America (Sao Paulo)</t>
  </si>
  <si>
    <t>$0.02 per GB - US East (Northern Virginia) data transfer to Asia Pacific (Mumbai)</t>
  </si>
  <si>
    <t>$0.02 per GB - US East (Northern Virginia) data transfer to Asia Pacific (Osaka)</t>
  </si>
  <si>
    <t>$0.02 per GB - US East (Northern Virginia) data transfer to US West (Northern California)</t>
  </si>
  <si>
    <t>$0.02 per GB - US East (Northern Virginia) data transfer to Asia Pacific (Singapore)</t>
  </si>
  <si>
    <t>$0.02 per GB - US East (Northern Virginia) data transfer to EU (Paris)</t>
  </si>
  <si>
    <t>$0.01 per GB - US East (Northern Virginia) data transfer to US East (Ohio)</t>
  </si>
  <si>
    <t>AWS Marketplace software usage|us-east-1|Million Input Tokens Global</t>
  </si>
  <si>
    <t>Cuenta directa</t>
  </si>
  <si>
    <t>MedicalAudit</t>
  </si>
  <si>
    <t>P2457</t>
  </si>
  <si>
    <t>AWS Marketplace software usage|us-east-1|Million Batch Input Tokens Global</t>
  </si>
  <si>
    <t>AWS Marketplace software usage|us-east-1|Million Batch Response Tokens Global</t>
  </si>
  <si>
    <t>AWS Marketplace software usage|us-east-1|Million Response Tokens Global</t>
  </si>
  <si>
    <t>$0.003 per Configuration Item recorded in US East (N.Virginia) region</t>
  </si>
  <si>
    <t>$0.07 per metric month - US East (N. Virginia)</t>
  </si>
  <si>
    <t>$0.0008 per Configuration Received for AppConfig-Deployments in US East (N. Virginia)</t>
  </si>
  <si>
    <t>$0.00945 per GB-Hour for Runtime:Consumption-based:Memory in US East (N. Virginia)</t>
  </si>
  <si>
    <t>QuickSight Enterprise Edition User</t>
  </si>
  <si>
    <t>$0.005 per provisioned IOPS-month of gp3 - US East (N. Virginia)</t>
  </si>
  <si>
    <t>$0.24 per OCU-hours for SearchOCU in US East (N. Virginia)</t>
  </si>
  <si>
    <t>AWS Fargate - vCPU - US East (N.Virginia)</t>
  </si>
  <si>
    <t>AWS Marketplace software usage|us-east-1|Million Input Tokens Regional CRIS</t>
  </si>
  <si>
    <t>Agentic</t>
  </si>
  <si>
    <t>AnomalyDetectionEngine</t>
  </si>
  <si>
    <t>$0.08 per GB-month of General Purpose (gp3) provisioned storage - US East (N. Virginia)</t>
  </si>
  <si>
    <t>AWS Fargate - ARM - vCPU - US East (N. Virginia)</t>
  </si>
  <si>
    <t>USD250.0 per month fee for Amazon Q in QuickSight for US East (N. Virginia) (us-east-1)</t>
  </si>
  <si>
    <t>$0.090 per GB - first 10 TB / month data transfer out beyond the global free tier</t>
  </si>
  <si>
    <t>$0.005 per 1,000 PUT, COPY, POST, or LIST requests</t>
  </si>
  <si>
    <t>$0.004 per 10,000 GET and all other requests</t>
  </si>
  <si>
    <t>$0.005 per 1,000 Tier1 Annotation Requests</t>
  </si>
  <si>
    <t>StandardStorage</t>
  </si>
  <si>
    <t>$0.023 per GB - first 50 TB / month of storage used</t>
  </si>
  <si>
    <t>USD $0.135/Hr m7g.large.search - US East (N. Virginia)</t>
  </si>
  <si>
    <t>P0371</t>
  </si>
  <si>
    <t>USD 0.12 per Aurora Capacity Unit hour running Aurora PostgreSQL Serverless v2</t>
  </si>
  <si>
    <t>USD $0.12/Hr c7g.large.search - US East (N. Virginia)</t>
  </si>
  <si>
    <t>USD $0.068/Hr m7g.medium.search - US East (N. Virginia)</t>
  </si>
  <si>
    <t>$0.0895 per vCPU-Hour for Runtime:Consumption-based:vCPU in US East (N. Virginia)</t>
  </si>
  <si>
    <t>$0.01 per 1,000 UsageRecord-month of stored Granular Cost Data Usage-records</t>
  </si>
  <si>
    <t>$0.01 per API Request</t>
  </si>
  <si>
    <t>$0.010 per GB - regional data transfer - in/out/between EC2 AZs or using elastic IPs or ELB</t>
  </si>
  <si>
    <t>$40.00 per User for QuickSight Enterprise Edition Author Pro in US East (N. Virginia) (us-east-1)</t>
  </si>
  <si>
    <t>$0.133 per On Demand Linux r4.large Instance Hour</t>
  </si>
  <si>
    <t>$ 0.129 per RDS db.t4g.medium Multi-AZ instance hour (or partial hour) running PostgreSQL</t>
  </si>
  <si>
    <t>SGA</t>
  </si>
  <si>
    <t>$0.000004 per Event for EventsAnalyzed in US East (N. Virginia)</t>
  </si>
  <si>
    <t>$0.015 per hour per ACU of the underlying Serverless v2 instance running RDS Proxy</t>
  </si>
  <si>
    <t>$0.24 per OCU-hours for IndexingOCU in US East (N. Virginia)</t>
  </si>
  <si>
    <t>$0.50 per GB custom log data ingested in Standard log class - US East (Northern Virginia)</t>
  </si>
  <si>
    <t>$0.04 per provisioned MiBps-month of gp3 - US East (N. Virginia)</t>
  </si>
  <si>
    <t>$0.03 per 10000 KMS requests in US East (N. Virginia)</t>
  </si>
  <si>
    <t>$0.096 per vCPU-Hour of T3 CPU Credits</t>
  </si>
  <si>
    <t>AWS Marketplace software usage|us-east-1|Million Response Tokens Regional CRIS</t>
  </si>
  <si>
    <t>$0.045 per NAT Gateway Hour</t>
  </si>
  <si>
    <t>$0.55 per GB from 0 to 1,000 for LogsAnalyzedBytes in US East (N. Virginia)</t>
  </si>
  <si>
    <t>QuickSight Enterprise Edition Reader - US East (N. Virginia) (us-east-1)</t>
  </si>
  <si>
    <t>AWS Fargate - Memory  - US East (N.Virginia)</t>
  </si>
  <si>
    <t>$0.0832 per On Demand Linux t3.large Instance Hour</t>
  </si>
  <si>
    <t>QuickSight Enterprise Edition Reader Pro - US East (N. Virginia) (us-east-1)</t>
  </si>
  <si>
    <t>$0.05 per GB-Month of snapshot data stored - US East (Northern Virginia)</t>
  </si>
  <si>
    <t>AWS Fargate - ARM - Memory - US East (N. Virginia)</t>
  </si>
  <si>
    <t>USD 0.072 per db.t3.small Multi-AZ instance hour (or partial hour) running PostgreSQL</t>
  </si>
  <si>
    <t>P2547</t>
  </si>
  <si>
    <t>$0.0225 per Application LoadBalancer-hour (or partial hour)</t>
  </si>
  <si>
    <t>$0.30 per metric-month for the first 10,000 metrics - US East (Northern Virginia)</t>
  </si>
  <si>
    <t>$0.000434 per Lambda function per hour for AWS Security Hub Essentials plan in US East (N. Virginia)</t>
  </si>
  <si>
    <t>$0.06 per On Demand Windows t3.medium Instance Hour</t>
  </si>
  <si>
    <t>AWS Support</t>
  </si>
  <si>
    <t>$0.05 per 10000 API Requests</t>
  </si>
  <si>
    <t>The first 100,000 security checks per account per region per month cost USD0.001 per check</t>
  </si>
  <si>
    <t>$0.03 per GB-mo of log storage - US East (Northern Virginia)</t>
  </si>
  <si>
    <t>$0.0012 per canary run per month - US East (N. Virginia)</t>
  </si>
  <si>
    <t>$5.00 per GB-Mo for QuickSuite-Index in US East (N. Virginia)</t>
  </si>
  <si>
    <t>$0.0464 per On Demand Linux t2.medium Instance Hour</t>
  </si>
  <si>
    <t>P2294</t>
  </si>
  <si>
    <t>$5.00 per web ACL created (prorated hourly)</t>
  </si>
  <si>
    <t>0.04 per Stream Hour Used</t>
  </si>
  <si>
    <t>AWS Lambda - Total Compute for ARM - US East (Northern Virginia)-Tier-1</t>
  </si>
  <si>
    <t>$0.10 per alarm metric month (standard resolution) - US East (Northern Virginia)</t>
  </si>
  <si>
    <t>0.000001 per data event recorded in US East (N.Virginia) region</t>
  </si>
  <si>
    <t>$ 0.036 per t3.small.search instance hour (or partial hour)</t>
  </si>
  <si>
    <t>Cost per recipient of SendEmail or SendRawEmail invoked from EC2</t>
  </si>
  <si>
    <t>$0.40 per million Amazon SQS standard requests in Tier1 in US East (N Virginia)</t>
  </si>
  <si>
    <t>FlatRateSubscription</t>
  </si>
  <si>
    <t>$20.00 per Count for KiroEnterprise-Pro in US East (N. Virginia)</t>
  </si>
  <si>
    <t>$40.00 per Count for KiroEnterprise-ProPlus in US East (N. Virginia)</t>
  </si>
  <si>
    <t>$0.1 per GB-month for warm backup storage for DynamoDB</t>
  </si>
  <si>
    <t>0.00002 per paid event recorded in US East (N.Virginia) region</t>
  </si>
  <si>
    <t>0.00002 per paid event recorded in EU (Dublin) region</t>
  </si>
  <si>
    <t>USD 0.036 per db.t3.micro Multi-AZ instance hour (or partial hour) running PostgreSQL</t>
  </si>
  <si>
    <t>AWS CodeBuild - Build minutes on arm1.medium in US East (N. Virginia)</t>
  </si>
  <si>
    <t>$0.0034 per minutes for Build-Min:ARM:g1.small in US East (N. Virginia)</t>
  </si>
  <si>
    <t>AWS CodeBuild - Build minutes on build.general1.small - US East (Northern Virginia)</t>
  </si>
  <si>
    <t>$0.002 per action execution minute</t>
  </si>
  <si>
    <t>$0.0116 per On Demand Linux t2.micro Instance Hour</t>
  </si>
  <si>
    <t>$0.01 per GB - US East (Ohio) data transfer to US East (Northern Virginia)</t>
  </si>
  <si>
    <t>$ 0.032 per RDS db.t4g.small Single-AZ instance hour (or partial hour) running PostgreSQL</t>
  </si>
  <si>
    <t>$ 0.016 per RDS db.t4g.micro Single-AZ instance hour (or partial hour) running PostgreSQL</t>
  </si>
  <si>
    <t>Infra</t>
  </si>
  <si>
    <t>$0.125 per million read request units (N. Virginia)</t>
  </si>
  <si>
    <t>CapacityBroker</t>
  </si>
  <si>
    <t>$0.00004167 per Hourly for Global-MonitoredIAMRole</t>
  </si>
  <si>
    <t>$0.000025 per state transition</t>
  </si>
  <si>
    <t>Houndoc</t>
  </si>
  <si>
    <t>$1.00 per rule created (prorated hourly)</t>
  </si>
  <si>
    <t>$0.0002894 per container image per hour for AWS Security Hub Essentials plan in US East (N. Virginia)</t>
  </si>
  <si>
    <t>$0.01 per VPC Endpoint Hour</t>
  </si>
  <si>
    <t>5.00 USD per Terabytes for DataScannedInTB in US East (N. Virginia)</t>
  </si>
  <si>
    <t>$0.0052083 per EC2 instance-hour for AWS Security Hub Essentials plan in US East (N. Virginia)</t>
  </si>
  <si>
    <t>$0.10 per GB-month of data storage</t>
  </si>
  <si>
    <t>AWS Marketplace hourly software usage|us-east-1|t2.medium</t>
  </si>
  <si>
    <t>USD 0.018 per db.t3.micro Single-AZ instance hour (or partial hour) running PostgreSQL</t>
  </si>
  <si>
    <t>$0.40 per Secret</t>
  </si>
  <si>
    <t>AWS Lambda - Total Compute - US East (Northern Virginia)-Tier-1</t>
  </si>
  <si>
    <t>$3.50/million requests - first 333 million requests/month</t>
  </si>
  <si>
    <t>$0.05 per Transit Gateway VPC Attachment Hour</t>
  </si>
  <si>
    <t>$0.00065 per hour for units of write capacity beyond the free tier</t>
  </si>
  <si>
    <t>$3.00 per Dashboard per Month</t>
  </si>
  <si>
    <t>$1 per vCPU / month analyzed in US East (N. Virginia) region</t>
  </si>
  <si>
    <t>$1 per customer managed KMS key version in US East (N. Virginia)</t>
  </si>
  <si>
    <t>$0.625 per million write request units (N. Virginia)</t>
  </si>
  <si>
    <t>$3.00 per Dashboard per Month (&gt;50 metrics)</t>
  </si>
  <si>
    <t>USD 0.122/GB-month provisioned gp3 storage</t>
  </si>
  <si>
    <t>$0.05 per VPN Connection-Hour</t>
  </si>
  <si>
    <t>$0.05 per Transit Gateway VPN Attachment Hour</t>
  </si>
  <si>
    <t>$0.23 per GB-month of provisioned GP3 storage for Multi-AZ deployments running PostgreSQL</t>
  </si>
  <si>
    <t>$0.23 per GB-month of provisioned gp2 storage for Multi-AZ deployments running PostgreSQL</t>
  </si>
  <si>
    <t>$0.000625 per Lambda function code per hour for AWS Security Hub Essentials Optional Enhanced Capabilities plan in US East (N. Virginia)</t>
  </si>
  <si>
    <t>$0.20 per 1 million I/O requests (Aurora PostgreSQL)</t>
  </si>
  <si>
    <t>$0.44 per Data Processing Unit-Hour for AWS Glue crawler</t>
  </si>
  <si>
    <t>$0.005 per Idle public IPv4 address per hour</t>
  </si>
  <si>
    <t>$0.50 per GB of vended logs ingested in Standard log class for the first 10TB - US East (Northern Virginia)</t>
  </si>
  <si>
    <t>$0.10 per GB-month of General Purpose SSD (gp2) provisioned storage - US East (Northern Virginia)</t>
  </si>
  <si>
    <t>$0.0042 per On Demand Linux t4g.nano Instance Hour</t>
  </si>
  <si>
    <t>$0.44 per Data Processing Unit-Hour for AWS Glue ETL job</t>
  </si>
  <si>
    <t>AUDITORIA</t>
  </si>
  <si>
    <t>$0.115 per GB-month of provisioned GP3 storage running PostgreSQL</t>
  </si>
  <si>
    <t>$0.115 per GB-month of provisioned gp2 storage running PostgreSQL</t>
  </si>
  <si>
    <t>$0.00013 per hour for units of read capacity beyond the free tier</t>
  </si>
  <si>
    <t>$0.00004167 per Hourly for Global-MonitoredIAMUser</t>
  </si>
  <si>
    <t>$0.112 per GB-Mo of provisioned ML storage</t>
  </si>
  <si>
    <t>$0.01 per 1,000 PUT, COPY, POST or LIST requests to Standard-Infrequent Access</t>
  </si>
  <si>
    <t>AWS Fargate - Ephemeral Storage - US East (N. Virginia)</t>
  </si>
  <si>
    <t>AWS CodeBuild - Build minutes on build.general1.small - US East (Ohio)</t>
  </si>
  <si>
    <t>$0.03 per 10000 KMS requests in Asia Pacific (Mumbai)</t>
  </si>
  <si>
    <t>$0.03 per 10000 KMS requests in South America (Sao Paulo)</t>
  </si>
  <si>
    <t>$0.03 per 10000 KMS requests in US East (Ohio)</t>
  </si>
  <si>
    <t>$0.03 per 10000 KMS requests in EU (Paris)</t>
  </si>
  <si>
    <t>$0.03 per 10000 KMS requests in Asia Pacific (Singapore)</t>
  </si>
  <si>
    <t>$0.03 per 10000 KMS requests in EU (Ireland)</t>
  </si>
  <si>
    <t>$0.03 per 10000 KMS requests in US West (N. California)</t>
  </si>
  <si>
    <t>$0.03 per 10000 KMS requests in EU (London)</t>
  </si>
  <si>
    <t>$0.03 per 10000 KMS requests in EU (Frankfurt)</t>
  </si>
  <si>
    <t>$0.03 per 10000 KMS requests in Asia Pacific (Osaka)</t>
  </si>
  <si>
    <t>$0.03 per 10000 KMS requests in Asia Pacific (Tokyo)</t>
  </si>
  <si>
    <t>$0.03 per 10000 KMS requests in EU (Stockholm)</t>
  </si>
  <si>
    <t>$0.03 per 10000 KMS requests in Asia Pacific (Seoul)</t>
  </si>
  <si>
    <t>$0.03 per 10000 KMS requests in Asia Pacific (Sydney)</t>
  </si>
  <si>
    <t>$0.03 per 10000 KMS requests in US West (Oregon)</t>
  </si>
  <si>
    <t>$0.03 per 10000 KMS requests in Canada (Central)</t>
  </si>
  <si>
    <t>$0.095 per additional GB-month of backup storage exceeding free allocation running PostgreSQL</t>
  </si>
  <si>
    <t>$0.005 per In-use public IPv4 address per hour</t>
  </si>
  <si>
    <t>AWS Lambda - Total Requests for ARM - US East (Northern Virginia)</t>
  </si>
  <si>
    <t>AWS Lambda - Total Requests - US East (Northern Virginia)</t>
  </si>
  <si>
    <t>AWS Lambda - Ephemeral Storage for ARM - US East (N. Virginia)</t>
  </si>
  <si>
    <t>AWS Lambda - Ephemeral Storage - US East (N. Virginia)</t>
  </si>
  <si>
    <t>$0.045 per GB Data Processed by NAT Gateways</t>
  </si>
  <si>
    <t>$1.776 per compute unit</t>
  </si>
  <si>
    <t>$0.25 per ACU / month analyzed in US East (N. Virginia) region</t>
  </si>
  <si>
    <t>$0.008 per used Application load balancer capacity unit-hour (or partial hour)</t>
  </si>
  <si>
    <t>SGANotifications</t>
  </si>
  <si>
    <t>ProjectId</t>
  </si>
  <si>
    <t>$0.0000002 per Request for AppConfig-Requests in US East (N. Virginia)</t>
  </si>
  <si>
    <t>$ 0.065 per RDS db.t4g.medium Single-AZ instance hour (or partial hour) running PostgreSQL</t>
  </si>
  <si>
    <t>$0.25 per GB of log data delivered to S3 for the first 10TB - US East (Northern Virginia)</t>
  </si>
  <si>
    <t>$0.000039 per OpsItem API Request in US East (N. Virginia)</t>
  </si>
  <si>
    <t>$0.60 per million requests processed</t>
  </si>
  <si>
    <t>$1/million messages - first 1 billion messages/month</t>
  </si>
  <si>
    <t>$0.25/million connection minutes</t>
  </si>
  <si>
    <t>USD 0.00015 per 1K tokens for USE1-nvidia.nemotron-super-3-120b-input-tokens in US East (N. Virginia)</t>
  </si>
  <si>
    <t>USD 0.00065 per 1K tokens for USE1-nvidia.nemotron-super-3-120b-output-tokens in US East (N. Virginia)</t>
  </si>
  <si>
    <t>$0.125 per GB - All data transfer out to Origin (South America)</t>
  </si>
  <si>
    <t>$0.020 per GB - All data transfer out to Origin (US)</t>
  </si>
  <si>
    <t>$0.01 per 1,000 metrics requested using GetMetricData API - US East (Northern Virginia)</t>
  </si>
  <si>
    <t>$0.005 per GB log data scanned by CloudWatch Logs Insights queries - US East (Northern Virginia)</t>
  </si>
  <si>
    <t>$0.25 per GB of vended logsingested in Infrequent Access log class for the first 10TB - US East (Northern Virginia)</t>
  </si>
  <si>
    <t>$0.024 per GB-month for StorageUsedInS3ByteHour in US East (N. Virginia)</t>
  </si>
  <si>
    <t>$0.20 per GB-Month of storage used for DynamoDB PITR backup</t>
  </si>
  <si>
    <t>$0.10000 per GB of data exported in US East (N. Virginia)</t>
  </si>
  <si>
    <t>$0.10 per GB-Month of storage used for on-demand backup</t>
  </si>
  <si>
    <t>$0.095 per additional GB-month of backup storage exceeding free allocation</t>
  </si>
  <si>
    <t>$0.0084 per On Demand Linux t4g.micro Instance Hour</t>
  </si>
  <si>
    <t>$0.01 per 10,000 GET and all other requests  to Standard-Infrequent Access</t>
  </si>
  <si>
    <t>TagStorage-TagHrs</t>
  </si>
  <si>
    <t xml:space="preserve">$0.0065 per 10,000 Tags per month </t>
  </si>
  <si>
    <t>$0.10 per GB-month of consumed storage (Aurora PostgreSQL)</t>
  </si>
  <si>
    <t>USD 0.021 per GB-month of backup storage exceeding free allocation for Aurora PostgreSQL</t>
  </si>
  <si>
    <t>$0.03 per GB of log data converted to Parquet format - US East (N. Virginia)</t>
  </si>
  <si>
    <t>$0.4 per gibibyte (GiB) of storage per month</t>
  </si>
  <si>
    <t>$0.40 per 1,000,000 queries for the first 1 Billion queries</t>
  </si>
  <si>
    <t>$0.50 per Hosted Zone for the first 25 Hosted Zones</t>
  </si>
  <si>
    <t>$0.50 per GB of CloudFront vended logs ingested in Standard log class for the first 10TB  -  US East (Northern Virginia)</t>
  </si>
  <si>
    <t>TimedStorage-SIA-SmObjects</t>
  </si>
  <si>
    <t>$0.0125 per GB-Month of storage used for small objects</t>
  </si>
  <si>
    <t>TimedStorage-SIA-ByteHrs</t>
  </si>
  <si>
    <t>StandardIAStorage</t>
  </si>
  <si>
    <t>$0.0125 per GB-Month of storage used in Standard-Infrequent Access</t>
  </si>
  <si>
    <t>$0.0054 per 1,000 PUT, COPY, POST, or LIST requests</t>
  </si>
  <si>
    <t>$0.0047 per 1,000 PUT, COPY, POST, or LIST requests</t>
  </si>
  <si>
    <t>$0.01 per GB - flat fee for all bytes retrieved in Standard-Infrequent Access</t>
  </si>
  <si>
    <t>$0.02 per GB Data Processed by Transit Gateway VPC Attachment</t>
  </si>
  <si>
    <t>$0.01 per GB for upto 1 PB monthly data processed by VPC Endpoints</t>
  </si>
  <si>
    <t>GT-DASHBOARD</t>
  </si>
  <si>
    <t>$0.00016 per Count from 0 to 10,000,000 for Essentials-Outbound-Email in US East (N. Virginia)</t>
  </si>
  <si>
    <t>Cost per GB of attachments</t>
  </si>
  <si>
    <t>$0.40 per million Amazon SQS standard requests in Tier1 in US East (Ohio)</t>
  </si>
  <si>
    <t>$0.40 per million Amazon SQS standard requests in Tier1 in US West (Oregon)</t>
  </si>
  <si>
    <t>$0.40 per million Amazon SQS standard requests in Tier1 in Canada (Central)</t>
  </si>
  <si>
    <t>$0.40 per million Amazon SQS standard requests in Tier1 in Asia Pacific (Osaka)</t>
  </si>
  <si>
    <t>$0.40 per million Amazon SQS standard requests in Tier1 in EU (Ireland)</t>
  </si>
  <si>
    <t>$0.40 per million Amazon SQS standard requests in Tier1 in US West (N California)</t>
  </si>
  <si>
    <t>$0.40 per million Amazon SQS standard requests in Tier1 in South America (Sao Paulo)</t>
  </si>
  <si>
    <t>$0.40 per million Amazon SQS standard requests in Tier1 in EU (Frankfurt)</t>
  </si>
  <si>
    <t>$0.40 per million Amazon SQS standard requests in Tier1 in Asia Pacific (Tokyo)</t>
  </si>
  <si>
    <t>$0.40 per million Amazon SQS standard requests in Tier1 in Asia Pacific (Seoul)</t>
  </si>
  <si>
    <t>$0.40 per million Amazon SQS standard requests in Tier1 in Asia Pacific (Sydney)</t>
  </si>
  <si>
    <t>$0.40 per million Amazon SQS standard requests in Tier1 in EU (London)</t>
  </si>
  <si>
    <t>$0.40 per million Amazon SQS standard requests in Tier1 in EU (Paris)</t>
  </si>
  <si>
    <t>USD0.02 per GB for  in Asia Pacific (Hong Kong)</t>
  </si>
  <si>
    <t>$0.50 per GB custom log data ingested in Standard log class - US East (Ohio)</t>
  </si>
  <si>
    <t>$0.02 per GB Data Processed by Transit Gateway VPN Attachment</t>
  </si>
  <si>
    <t>$0.02 per GB - US East (Northern Virginia) data transfer to Australia (Perth)</t>
  </si>
  <si>
    <t>$0.02 per GB - US East (N. Virginia) data transfer to Mexico (Central)</t>
  </si>
  <si>
    <t>USD 0.02 per GB for USE1-EUS1-AWS-Out-Bytes in EU (Milan)</t>
  </si>
  <si>
    <t>$0.060 per GB - All data transfer out to Origin (Asia)</t>
  </si>
  <si>
    <t>$0.020 per GB - All data transfer out to Origin (Europe)</t>
  </si>
  <si>
    <t>$0.060 per GB - All data transfer out to Origin (Japan)</t>
  </si>
  <si>
    <t>$ 0.073 per RDS db.t4g.medium Single-AZ instance hour (or partial hour) running Aurora PostgreSQL</t>
  </si>
  <si>
    <t>$0.40 per million Amazon SQS standard requests in Tier1 in Asia Pacific (Mumbai)</t>
  </si>
  <si>
    <t>$0.40 per million Amazon SQS standard requests in Tier1 in Asia Pacific (Singapore)</t>
  </si>
  <si>
    <t>$0.40 per million Amazon SQS standard requests in Tier1 in EU (Stockholm)</t>
  </si>
  <si>
    <t>$0.02 per GB - US East (Ohio) data transfer to EU (Paris)</t>
  </si>
  <si>
    <t>$0.02 per GB - US East (Ohio) data transfer to EU (London)</t>
  </si>
  <si>
    <t>$0.02 per GB - US East (Ohio) data transfer to Asia Pacific (Singapore)</t>
  </si>
  <si>
    <t>$0.02 per GB - US East (Ohio) data transfer to South America (Sao Paulo)</t>
  </si>
  <si>
    <t>$0.02 per GB - US East (Ohio) data transfer to US West (Northern California)</t>
  </si>
  <si>
    <t>$0.02 per GB - US East (Ohio) data transfer to Asia Pacific (Seoul)</t>
  </si>
  <si>
    <t>$0.02 per GB - US East (Ohio) data transfer to US West (Oregon)</t>
  </si>
  <si>
    <t>$0.02 per GB - US East (Ohio) data transfer to EU (Ireland)</t>
  </si>
  <si>
    <t>$0.02 per GB - US East (Ohio) data transfer to Canada (Central)</t>
  </si>
  <si>
    <t>$0.02 per GB - US East (Ohio) data transfer to Asia Pacific (Tokyo)</t>
  </si>
  <si>
    <t>$0.02 per GB - US East (Ohio) data transfer to Asia Pacific (Osaka)</t>
  </si>
  <si>
    <t>$0.02 per GB - US East (Ohio) data transfer to Asia Pacific (Mumbai)</t>
  </si>
  <si>
    <t>$0.02 per GB - US East (Ohio) data transfer to Asia Pacific (Sydney)</t>
  </si>
  <si>
    <t>$0.02 per GB - US East (Ohio) data transfer to EU (Germany)</t>
  </si>
  <si>
    <t>$0.03 per GB-mo of log storage - US East (Ohio)</t>
  </si>
  <si>
    <t>$0.40 per million Pipes requests in US East (N. Virginia)</t>
  </si>
  <si>
    <t>$0.02 per GB - US East (N. Virginia) data transfer to Israel (Tel Aviv)</t>
  </si>
  <si>
    <t>$0.02 per GB - US East (N. Virginia) data transfer to Nigeria (Lagos)</t>
  </si>
  <si>
    <t>$0.02 per GB - US East (Northern Virginia) data transfer to India (Delhi)</t>
  </si>
  <si>
    <t>$0.02 per GB - US East (Northern Virginia) data transfer to Poland (Warsaw)</t>
  </si>
  <si>
    <t>$0.02 per GB - US East (Northern Virginia) data transfer to Germany (Hamburg)</t>
  </si>
  <si>
    <t>$0.020 per GB - All data transfer out to Origin (Canada)</t>
  </si>
  <si>
    <t>$0.060 per GB - All data transfer out to Origin (South Africa)</t>
  </si>
  <si>
    <t>$0.10 per metric analyzed by the alarm per month</t>
  </si>
  <si>
    <t>$0.0000002 per DynamoDB Streams read request unit beyond free tier (US East (N. Virginia))</t>
  </si>
  <si>
    <t>$0.02 per GB - US East (Northern Virginia) data transfer to Taiwan (Taipei)</t>
  </si>
  <si>
    <t>AWS Marketplace software usage|us-east-1|Million Input Tokens Regional</t>
  </si>
  <si>
    <t>AWS Marketplace software usage|us-east-1|Million Response Tokens Regional</t>
  </si>
  <si>
    <t>AWS Marketplace software usage|us-east-1|Million Cache Read Input Tokens Regional</t>
  </si>
  <si>
    <t>AWS Marketplace software usage|us-east-1|Million Cache Write Input Tokens Regional</t>
  </si>
  <si>
    <t>AWS Marketplace software usage|us-east-1|Million Response Tokens Standard</t>
  </si>
  <si>
    <t>AWS Marketplace software usage|us-east-1|Million Input Tokens Standard</t>
  </si>
  <si>
    <t>AWS Marketplace software usage|us-east-1|Cache Write Tokens - Standard</t>
  </si>
  <si>
    <t>AWS Marketplace software usage|us-east-1|Million Cache Read Input Tokens Regional CRIS</t>
  </si>
  <si>
    <t>AWS Marketplace software usage|us-east-1|Million Cache Write Input Tokens Regional CRIS</t>
  </si>
  <si>
    <t>AWS Marketplace software usage|us-east-1|Million 1 hour Cache Write Input Tokens Regional CRIS</t>
  </si>
  <si>
    <t>AWS CodeBuild - Build minutes on build.general1.medium - US East (Ohio)</t>
  </si>
  <si>
    <t>$0.0034 per minutes for Build-Min:ARM:g1.small in US East (Ohio)</t>
  </si>
  <si>
    <t>$0.02 per GB - US East (N. Virginia) datatransfer to India (Kolkata)</t>
  </si>
  <si>
    <t>$0.02 per GB - US East (Northern Virginia) data transfer to Thailand (Bangkok)</t>
  </si>
  <si>
    <t>$0.16 per GB - All data transfer out to Origin (India)</t>
  </si>
  <si>
    <t>$0.0225 per Network LoadBalancer-hour (or partial hour)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</si>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</sst>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\$#,##0&quot; COP&quot;"/>
    <numFmt numFmtId="167" formatCode="#,##0.00&quot; COP/USD&quot;"/>
    <numFmt numFmtId="168" formatCode="\$#,##0.000000&quot; USD&quot;"/>
    <numFmt numFmtId="169" formatCode="\$#,##0.00&quot; COP&quot;"/>
    <numFmt numFmtId="170" formatCode="[$-240A]0.0%"/>
    <numFmt numFmtId="171" formatCode="[$-240A]dd/mm/yyyy"/>
    <numFmt numFmtId="172" formatCode="#,##0.000000"/>
    <numFmt numFmtId="173" formatCode="yyyy\-mm\-dd\ hh:mm:ss"/>
    <numFmt numFmtId="174" formatCode="&quot;$&quot;#,##0;\(&quot;$&quot;#,##0\);\-"/>
    <numFmt numFmtId="175" formatCode="_-&quot;$&quot;\ * #,##0_-;\-&quot;$&quot;\ * #,##0_-;_-&quot;$&quot;\ * &quot;-&quot;??_-;_-@_-"/>
    <numFmt numFmtId="176" formatCode="_-* #,##0_-;\-* #,##0_-;_-* &quot;-&quot;??_-;_-@_-"/>
  </numFmts>
  <fonts count="20">
    <font>
      <sz val="11"/>
      <color theme="1"/>
      <name val="Calibri"/>
      <family val="2"/>
      <charset val="1"/>
    </font>
    <font>
      <b/>
      <sz val="24"/>
      <color rgb="FF0B5563"/>
      <name val="Calibri"/>
      <family val="2"/>
      <charset val="1"/>
    </font>
    <font>
      <sz val="11"/>
      <color rgb="FF44546A"/>
      <name val="Calibri"/>
      <family val="2"/>
      <charset val="1"/>
    </font>
    <font>
      <b/>
      <sz val="11"/>
      <color rgb="FF0B5563"/>
      <name val="Calibri"/>
      <family val="2"/>
      <charset val="1"/>
    </font>
    <font>
      <b/>
      <sz val="18"/>
      <color rgb="FF0B5563"/>
      <name val="Calibri"/>
      <family val="2"/>
      <charset val="1"/>
    </font>
    <font>
      <b/>
      <sz val="13"/>
      <color rgb="FFFFFFFF"/>
      <name val="Calibri"/>
      <family val="2"/>
      <charset val="1"/>
    </font>
    <font>
      <sz val="10"/>
      <color rgb="FF595959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2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7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8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E8F5F5"/>
        <bgColor rgb="FFEAF2F8"/>
      </patternFill>
    </fill>
    <fill>
      <patternFill patternType="solid">
        <fgColor rgb="FF168C95"/>
        <bgColor rgb="FF2C9AB7"/>
      </patternFill>
    </fill>
    <fill>
      <patternFill patternType="solid">
        <fgColor rgb="FFFFF2CC"/>
        <bgColor rgb="FFF3F6F8"/>
      </patternFill>
    </fill>
    <fill>
      <patternFill patternType="solid">
        <fgColor rgb="FF17365D"/>
        <bgColor rgb="FF24323D"/>
      </patternFill>
    </fill>
    <fill>
      <patternFill patternType="solid">
        <fgColor rgb="FFEAF2F8"/>
        <bgColor rgb="FFE8F5F5"/>
      </patternFill>
    </fill>
    <fill>
      <patternFill patternType="solid">
        <fgColor rgb="FF2878B5"/>
        <bgColor rgb="FF168C95"/>
      </patternFill>
    </fill>
    <fill>
      <patternFill patternType="solid">
        <fgColor rgb="FFD9A441"/>
        <bgColor rgb="FFFF8080"/>
      </patternFill>
    </fill>
    <fill>
      <patternFill patternType="solid">
        <fgColor rgb="FF2C9AB7"/>
        <bgColor rgb="FF168C95"/>
      </patternFill>
    </fill>
    <fill>
      <patternFill patternType="solid">
        <fgColor rgb="FFFFFFFF"/>
        <bgColor rgb="FFF3F6F8"/>
      </patternFill>
    </fill>
    <fill>
      <patternFill patternType="solid">
        <fgColor rgb="FF2E8B57"/>
        <bgColor rgb="FF168C95"/>
      </patternFill>
    </fill>
    <fill>
      <patternFill patternType="solid">
        <fgColor rgb="FFC94C4C"/>
        <bgColor rgb="FF993366"/>
      </patternFill>
    </fill>
    <fill>
      <patternFill patternType="solid">
        <fgColor rgb="FFF3F6F8"/>
        <bgColor rgb="FFEAF2F8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</cellStyleXfs>
  <cellXfs count="76">
    <xf numFmtId="0" fontId="0" fillId="0" borderId="0" xfId="0"/>
    <xf numFmtId="0" fontId="7" fillId="2" borderId="1" xfId="0" applyFont="1" applyFill="1" applyBorder="1"/>
    <xf numFmtId="167" fontId="0" fillId="4" borderId="1" xfId="0" applyNumberFormat="1" applyFill="1" applyBorder="1"/>
    <xf numFmtId="168" fontId="0" fillId="0" borderId="0" xfId="0" applyNumberFormat="1"/>
    <xf numFmtId="0" fontId="0" fillId="0" borderId="1" xfId="0" applyBorder="1" applyAlignment="1">
      <alignment wrapText="1"/>
    </xf>
    <xf numFmtId="10" fontId="0" fillId="4" borderId="1" xfId="0" applyNumberFormat="1" applyFill="1" applyBorder="1"/>
    <xf numFmtId="169" fontId="0" fillId="0" borderId="0" xfId="0" applyNumberFormat="1"/>
    <xf numFmtId="0" fontId="8" fillId="3" borderId="1" xfId="0" applyFont="1" applyFill="1" applyBorder="1" applyAlignment="1">
      <alignment vertical="top" wrapText="1"/>
    </xf>
    <xf numFmtId="0" fontId="11" fillId="0" borderId="0" xfId="0" applyFont="1"/>
    <xf numFmtId="171" fontId="11" fillId="0" borderId="0" xfId="0" applyNumberFormat="1" applyFont="1"/>
    <xf numFmtId="0" fontId="7" fillId="0" borderId="1" xfId="0" applyFont="1" applyBorder="1" applyAlignment="1">
      <alignment horizontal="center" vertical="top"/>
    </xf>
    <xf numFmtId="172" fontId="0" fillId="0" borderId="0" xfId="0" applyNumberFormat="1"/>
    <xf numFmtId="173" fontId="0" fillId="0" borderId="0" xfId="0" applyNumberFormat="1"/>
    <xf numFmtId="0" fontId="12" fillId="6" borderId="0" xfId="0" applyFont="1" applyFill="1"/>
    <xf numFmtId="0" fontId="11" fillId="13" borderId="0" xfId="0" applyFont="1" applyFill="1"/>
    <xf numFmtId="0" fontId="11" fillId="10" borderId="0" xfId="0" applyFont="1" applyFill="1"/>
    <xf numFmtId="0" fontId="0" fillId="14" borderId="0" xfId="0" applyFill="1"/>
    <xf numFmtId="0" fontId="8" fillId="14" borderId="0" xfId="0" applyFont="1" applyFill="1" applyAlignment="1">
      <alignment vertical="top" wrapText="1"/>
    </xf>
    <xf numFmtId="0" fontId="0" fillId="14" borderId="0" xfId="0" applyFill="1" applyAlignment="1">
      <alignment wrapText="1"/>
    </xf>
    <xf numFmtId="169" fontId="0" fillId="14" borderId="0" xfId="0" applyNumberFormat="1" applyFill="1"/>
    <xf numFmtId="169" fontId="9" fillId="14" borderId="0" xfId="0" applyNumberFormat="1" applyFont="1" applyFill="1"/>
    <xf numFmtId="0" fontId="7" fillId="15" borderId="0" xfId="0" applyFont="1" applyFill="1" applyAlignment="1">
      <alignment horizontal="center"/>
    </xf>
    <xf numFmtId="174" fontId="0" fillId="0" borderId="0" xfId="0" applyNumberFormat="1"/>
    <xf numFmtId="165" fontId="0" fillId="0" borderId="0" xfId="1" applyFont="1"/>
    <xf numFmtId="176" fontId="0" fillId="0" borderId="0" xfId="1" applyNumberFormat="1" applyFont="1"/>
    <xf numFmtId="176" fontId="0" fillId="0" borderId="1" xfId="1" applyNumberFormat="1" applyFont="1" applyBorder="1"/>
    <xf numFmtId="176" fontId="18" fillId="0" borderId="1" xfId="1" applyNumberFormat="1" applyFont="1" applyBorder="1"/>
    <xf numFmtId="176" fontId="0" fillId="0" borderId="0" xfId="1" applyNumberFormat="1" applyFont="1" applyFill="1" applyBorder="1"/>
    <xf numFmtId="176" fontId="0" fillId="0" borderId="0" xfId="0" applyNumberFormat="1"/>
    <xf numFmtId="176" fontId="0" fillId="16" borderId="2" xfId="1" applyNumberFormat="1" applyFont="1" applyFill="1" applyBorder="1"/>
    <xf numFmtId="176" fontId="18" fillId="16" borderId="2" xfId="1" applyNumberFormat="1" applyFont="1" applyFill="1" applyBorder="1"/>
    <xf numFmtId="0" fontId="0" fillId="16" borderId="0" xfId="0" applyFill="1"/>
    <xf numFmtId="176" fontId="18" fillId="0" borderId="0" xfId="1" applyNumberFormat="1" applyFont="1" applyBorder="1"/>
    <xf numFmtId="176" fontId="0" fillId="17" borderId="3" xfId="1" applyNumberFormat="1" applyFont="1" applyFill="1" applyBorder="1"/>
    <xf numFmtId="176" fontId="18" fillId="17" borderId="4" xfId="1" applyNumberFormat="1" applyFont="1" applyFill="1" applyBorder="1"/>
    <xf numFmtId="176" fontId="18" fillId="17" borderId="1" xfId="1" applyNumberFormat="1" applyFont="1" applyFill="1" applyBorder="1"/>
    <xf numFmtId="176" fontId="0" fillId="17" borderId="5" xfId="1" applyNumberFormat="1" applyFont="1" applyFill="1" applyBorder="1"/>
    <xf numFmtId="176" fontId="0" fillId="17" borderId="1" xfId="0" applyNumberFormat="1" applyFill="1" applyBorder="1"/>
    <xf numFmtId="176" fontId="0" fillId="17" borderId="6" xfId="1" applyNumberFormat="1" applyFont="1" applyFill="1" applyBorder="1"/>
    <xf numFmtId="176" fontId="0" fillId="0" borderId="7" xfId="1" applyNumberFormat="1" applyFont="1" applyFill="1" applyBorder="1"/>
    <xf numFmtId="176" fontId="18" fillId="0" borderId="7" xfId="1" applyNumberFormat="1" applyFont="1" applyBorder="1"/>
    <xf numFmtId="176" fontId="0" fillId="0" borderId="7" xfId="0" applyNumberFormat="1" applyBorder="1"/>
    <xf numFmtId="176" fontId="0" fillId="16" borderId="7" xfId="0" applyNumberFormat="1" applyFill="1" applyBorder="1"/>
    <xf numFmtId="176" fontId="0" fillId="17" borderId="8" xfId="1" applyNumberFormat="1" applyFont="1" applyFill="1" applyBorder="1"/>
    <xf numFmtId="176" fontId="0" fillId="17" borderId="9" xfId="1" applyNumberFormat="1" applyFont="1" applyFill="1" applyBorder="1"/>
    <xf numFmtId="176" fontId="18" fillId="17" borderId="10" xfId="1" applyNumberFormat="1" applyFont="1" applyFill="1" applyBorder="1"/>
    <xf numFmtId="176" fontId="0" fillId="17" borderId="10" xfId="0" applyNumberFormat="1" applyFill="1" applyBorder="1"/>
    <xf numFmtId="176" fontId="0" fillId="17" borderId="11" xfId="0" applyNumberFormat="1" applyFill="1" applyBorder="1"/>
    <xf numFmtId="176" fontId="0" fillId="17" borderId="12" xfId="0" applyNumberFormat="1" applyFill="1" applyBorder="1"/>
    <xf numFmtId="0" fontId="10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2" fillId="5" borderId="0" xfId="0" applyFont="1" applyFill="1" applyAlignment="1">
      <alignment horizontal="right" vertical="center"/>
    </xf>
    <xf numFmtId="0" fontId="12" fillId="7" borderId="0" xfId="0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2" fillId="9" borderId="0" xfId="0" applyFont="1" applyFill="1" applyAlignment="1">
      <alignment horizontal="right" vertical="center"/>
    </xf>
    <xf numFmtId="175" fontId="13" fillId="10" borderId="0" xfId="2" applyNumberFormat="1" applyFont="1" applyFill="1" applyAlignment="1">
      <alignment horizontal="right" vertical="center"/>
    </xf>
    <xf numFmtId="170" fontId="13" fillId="10" borderId="0" xfId="0" applyNumberFormat="1" applyFont="1" applyFill="1" applyAlignment="1">
      <alignment horizontal="right" vertical="center"/>
    </xf>
    <xf numFmtId="0" fontId="14" fillId="11" borderId="0" xfId="0" applyFont="1" applyFill="1" applyAlignment="1">
      <alignment horizontal="right" vertical="center"/>
    </xf>
    <xf numFmtId="0" fontId="14" fillId="9" borderId="0" xfId="0" applyFont="1" applyFill="1" applyAlignment="1">
      <alignment horizontal="right" vertical="center"/>
    </xf>
    <xf numFmtId="0" fontId="14" fillId="12" borderId="0" xfId="0" applyFont="1" applyFill="1" applyAlignment="1">
      <alignment horizontal="right" vertical="center"/>
    </xf>
    <xf numFmtId="0" fontId="14" fillId="7" borderId="0" xfId="0" applyFont="1" applyFill="1" applyAlignment="1">
      <alignment horizontal="right" vertical="center"/>
    </xf>
    <xf numFmtId="165" fontId="13" fillId="10" borderId="0" xfId="1" applyFont="1" applyFill="1" applyAlignment="1">
      <alignment horizontal="right" vertical="center"/>
    </xf>
    <xf numFmtId="0" fontId="16" fillId="6" borderId="0" xfId="0" applyFont="1" applyFill="1" applyAlignment="1">
      <alignment wrapText="1"/>
    </xf>
    <xf numFmtId="0" fontId="14" fillId="7" borderId="0" xfId="0" applyFont="1" applyFill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5" fillId="3" borderId="1" xfId="0" applyFont="1" applyFill="1" applyBorder="1" applyAlignment="1"/>
    <xf numFmtId="0" fontId="5" fillId="14" borderId="0" xfId="0" applyFont="1" applyFill="1" applyAlignment="1"/>
    <xf numFmtId="0" fontId="15" fillId="5" borderId="0" xfId="0" applyFont="1" applyFill="1" applyAlignment="1"/>
    <xf numFmtId="0" fontId="16" fillId="13" borderId="0" xfId="0" applyFont="1" applyFill="1" applyAlignment="1"/>
    <xf numFmtId="170" fontId="16" fillId="13" borderId="0" xfId="0" applyNumberFormat="1" applyFont="1" applyFill="1" applyAlignment="1"/>
    <xf numFmtId="0" fontId="16" fillId="10" borderId="0" xfId="0" applyFont="1" applyFill="1" applyAlignment="1"/>
    <xf numFmtId="170" fontId="16" fillId="10" borderId="0" xfId="0" applyNumberFormat="1" applyFont="1" applyFill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68C95"/>
      <rgbColor rgb="FFB3B3B3"/>
      <rgbColor rgb="FF808080"/>
      <rgbColor rgb="FF9999FF"/>
      <rgbColor rgb="FFC94C4C"/>
      <rgbColor rgb="FFFFF2CC"/>
      <rgbColor rgb="FFE8F5F5"/>
      <rgbColor rgb="FF660066"/>
      <rgbColor rgb="FFFF8080"/>
      <rgbColor rgb="FF2878B5"/>
      <rgbColor rgb="FFD9D9D9"/>
      <rgbColor rgb="FF000080"/>
      <rgbColor rgb="FFFF00FF"/>
      <rgbColor rgb="FFFFFF00"/>
      <rgbColor rgb="FF00FFFF"/>
      <rgbColor rgb="FF800080"/>
      <rgbColor rgb="FF800000"/>
      <rgbColor rgb="FF0B5563"/>
      <rgbColor rgb="FF0000FF"/>
      <rgbColor rgb="FF00CCFF"/>
      <rgbColor rgb="FFEAF2F8"/>
      <rgbColor rgb="FFC6EFCE"/>
      <rgbColor rgb="FFF3F6F8"/>
      <rgbColor rgb="FF99CCFF"/>
      <rgbColor rgb="FFFF99CC"/>
      <rgbColor rgb="FFCC99FF"/>
      <rgbColor rgb="FFFFCC99"/>
      <rgbColor rgb="FF3366FF"/>
      <rgbColor rgb="FF2C9AB7"/>
      <rgbColor rgb="FF99CC00"/>
      <rgbColor rgb="FFFFD320"/>
      <rgbColor rgb="FFD9A441"/>
      <rgbColor rgb="FFFF420E"/>
      <rgbColor rgb="FF595959"/>
      <rgbColor rgb="FF969696"/>
      <rgbColor rgb="FF17365D"/>
      <rgbColor rgb="FF2E8B57"/>
      <rgbColor rgb="FF004586"/>
      <rgbColor rgb="FF333300"/>
      <rgbColor rgb="FF993300"/>
      <rgbColor rgb="FF993366"/>
      <rgbColor rgb="FF44546A"/>
      <rgbColor rgb="FF2432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Evolucion diaria: facturable vs. AWS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'Analisis de Costos'!$AZ$12</c:f>
              <c:strCache>
                <c:ptCount val="1"/>
                <c:pt idx="0">
                  <c:v>Total facturable COP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'Analisis de Costos'!$AY$13:$AY$46</c:f>
              <c:numCache>
                <c:formatCode>[$-240A]dd/mm/yyyy</c:formatCode>
                <c:ptCount val="34"/>
                <c:pt idx="0">
                  <c:v>46228</c:v>
                </c:pt>
                <c:pt idx="1">
                  <c:v>46229</c:v>
                </c:pt>
                <c:pt idx="2">
                  <c:v>46230</c:v>
                </c:pt>
                <c:pt idx="3">
                  <c:v>46231</c:v>
                </c:pt>
                <c:pt idx="4">
                  <c:v>46232</c:v>
                </c:pt>
                <c:pt idx="5">
                  <c:v>46233</c:v>
                </c:pt>
                <c:pt idx="6">
                  <c:v>46234</c:v>
                </c:pt>
                <c:pt idx="7">
                  <c:v>46235</c:v>
                </c:pt>
                <c:pt idx="8">
                  <c:v>46236</c:v>
                </c:pt>
                <c:pt idx="9">
                  <c:v>46237</c:v>
                </c:pt>
                <c:pt idx="10">
                  <c:v>46238</c:v>
                </c:pt>
                <c:pt idx="11">
                  <c:v>46239</c:v>
                </c:pt>
                <c:pt idx="12">
                  <c:v>46240</c:v>
                </c:pt>
                <c:pt idx="13">
                  <c:v>46241</c:v>
                </c:pt>
                <c:pt idx="14">
                  <c:v>46242</c:v>
                </c:pt>
                <c:pt idx="15">
                  <c:v>46243</c:v>
                </c:pt>
                <c:pt idx="16">
                  <c:v>46244</c:v>
                </c:pt>
                <c:pt idx="17">
                  <c:v>46245</c:v>
                </c:pt>
                <c:pt idx="18">
                  <c:v>46246</c:v>
                </c:pt>
                <c:pt idx="19">
                  <c:v>46247</c:v>
                </c:pt>
                <c:pt idx="20">
                  <c:v>46248</c:v>
                </c:pt>
                <c:pt idx="21">
                  <c:v>46249</c:v>
                </c:pt>
                <c:pt idx="22">
                  <c:v>46250</c:v>
                </c:pt>
                <c:pt idx="23">
                  <c:v>46251</c:v>
                </c:pt>
                <c:pt idx="24">
                  <c:v>46252</c:v>
                </c:pt>
                <c:pt idx="25">
                  <c:v>46253</c:v>
                </c:pt>
                <c:pt idx="26">
                  <c:v>46254</c:v>
                </c:pt>
                <c:pt idx="27">
                  <c:v>46255</c:v>
                </c:pt>
                <c:pt idx="28">
                  <c:v>46256</c:v>
                </c:pt>
                <c:pt idx="29">
                  <c:v>46257</c:v>
                </c:pt>
                <c:pt idx="30">
                  <c:v>46258</c:v>
                </c:pt>
                <c:pt idx="31">
                  <c:v>46259</c:v>
                </c:pt>
                <c:pt idx="32">
                  <c:v>46260</c:v>
                </c:pt>
                <c:pt idx="33">
                  <c:v>46261</c:v>
                </c:pt>
              </c:numCache>
            </c:numRef>
          </c:cat>
          <c:val>
            <c:numRef>
              <c:f>'Analisis de Costos'!$AZ$13:$AZ$46</c:f>
              <c:numCache>
                <c:formatCode>General</c:formatCode>
                <c:ptCount val="34"/>
                <c:pt idx="0">
                  <c:v>2081954.5187631473</c:v>
                </c:pt>
                <c:pt idx="1">
                  <c:v>1335192.4935093976</c:v>
                </c:pt>
                <c:pt idx="2">
                  <c:v>2150998.912277448</c:v>
                </c:pt>
                <c:pt idx="3">
                  <c:v>8884559.958431419</c:v>
                </c:pt>
                <c:pt idx="4">
                  <c:v>2586464.8397641494</c:v>
                </c:pt>
                <c:pt idx="5">
                  <c:v>1306421.1608515754</c:v>
                </c:pt>
                <c:pt idx="6">
                  <c:v>1069543.817534274</c:v>
                </c:pt>
                <c:pt idx="7">
                  <c:v>21798038.288210291</c:v>
                </c:pt>
                <c:pt idx="8">
                  <c:v>856858.09891750838</c:v>
                </c:pt>
                <c:pt idx="9">
                  <c:v>1116258.7539967597</c:v>
                </c:pt>
                <c:pt idx="10">
                  <c:v>3003591.5823105066</c:v>
                </c:pt>
                <c:pt idx="11">
                  <c:v>1874773.1706581654</c:v>
                </c:pt>
                <c:pt idx="12">
                  <c:v>1624977.1009326626</c:v>
                </c:pt>
                <c:pt idx="13">
                  <c:v>837758.62186523539</c:v>
                </c:pt>
                <c:pt idx="14">
                  <c:v>837279.59477567079</c:v>
                </c:pt>
                <c:pt idx="15">
                  <c:v>839204.96518217225</c:v>
                </c:pt>
                <c:pt idx="16">
                  <c:v>1024494.0490024135</c:v>
                </c:pt>
                <c:pt idx="17">
                  <c:v>14241325.764450226</c:v>
                </c:pt>
                <c:pt idx="18">
                  <c:v>2517428.6070825504</c:v>
                </c:pt>
                <c:pt idx="19">
                  <c:v>1405042.3175863479</c:v>
                </c:pt>
                <c:pt idx="20">
                  <c:v>70049349.473083675</c:v>
                </c:pt>
                <c:pt idx="21">
                  <c:v>836458.36382579815</c:v>
                </c:pt>
                <c:pt idx="22">
                  <c:v>3927624.027667759</c:v>
                </c:pt>
                <c:pt idx="23">
                  <c:v>912496.3867704618</c:v>
                </c:pt>
                <c:pt idx="24">
                  <c:v>892746.09697851131</c:v>
                </c:pt>
                <c:pt idx="25">
                  <c:v>882576.38944291347</c:v>
                </c:pt>
                <c:pt idx="26">
                  <c:v>888944.07902248413</c:v>
                </c:pt>
                <c:pt idx="27">
                  <c:v>1460310.3956479449</c:v>
                </c:pt>
                <c:pt idx="28">
                  <c:v>876459.09098883846</c:v>
                </c:pt>
                <c:pt idx="29">
                  <c:v>862969.65013444982</c:v>
                </c:pt>
                <c:pt idx="30">
                  <c:v>877909.59404196963</c:v>
                </c:pt>
                <c:pt idx="31">
                  <c:v>2217506.91985443</c:v>
                </c:pt>
                <c:pt idx="32">
                  <c:v>11843746.180189915</c:v>
                </c:pt>
                <c:pt idx="33">
                  <c:v>10036731.943022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C-4232-ADDB-5DEEE1889C3C}"/>
            </c:ext>
          </c:extLst>
        </c:ser>
        <c:ser>
          <c:idx val="1"/>
          <c:order val="1"/>
          <c:tx>
            <c:strRef>
              <c:f>'Analisis de Costos'!$BA$12</c:f>
              <c:strCache>
                <c:ptCount val="1"/>
                <c:pt idx="0">
                  <c:v>Costo AWS COP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'Analisis de Costos'!$AY$13:$AY$46</c:f>
              <c:numCache>
                <c:formatCode>[$-240A]dd/mm/yyyy</c:formatCode>
                <c:ptCount val="34"/>
                <c:pt idx="0">
                  <c:v>46228</c:v>
                </c:pt>
                <c:pt idx="1">
                  <c:v>46229</c:v>
                </c:pt>
                <c:pt idx="2">
                  <c:v>46230</c:v>
                </c:pt>
                <c:pt idx="3">
                  <c:v>46231</c:v>
                </c:pt>
                <c:pt idx="4">
                  <c:v>46232</c:v>
                </c:pt>
                <c:pt idx="5">
                  <c:v>46233</c:v>
                </c:pt>
                <c:pt idx="6">
                  <c:v>46234</c:v>
                </c:pt>
                <c:pt idx="7">
                  <c:v>46235</c:v>
                </c:pt>
                <c:pt idx="8">
                  <c:v>46236</c:v>
                </c:pt>
                <c:pt idx="9">
                  <c:v>46237</c:v>
                </c:pt>
                <c:pt idx="10">
                  <c:v>46238</c:v>
                </c:pt>
                <c:pt idx="11">
                  <c:v>46239</c:v>
                </c:pt>
                <c:pt idx="12">
                  <c:v>46240</c:v>
                </c:pt>
                <c:pt idx="13">
                  <c:v>46241</c:v>
                </c:pt>
                <c:pt idx="14">
                  <c:v>46242</c:v>
                </c:pt>
                <c:pt idx="15">
                  <c:v>46243</c:v>
                </c:pt>
                <c:pt idx="16">
                  <c:v>46244</c:v>
                </c:pt>
                <c:pt idx="17">
                  <c:v>46245</c:v>
                </c:pt>
                <c:pt idx="18">
                  <c:v>46246</c:v>
                </c:pt>
                <c:pt idx="19">
                  <c:v>46247</c:v>
                </c:pt>
                <c:pt idx="20">
                  <c:v>46248</c:v>
                </c:pt>
                <c:pt idx="21">
                  <c:v>46249</c:v>
                </c:pt>
                <c:pt idx="22">
                  <c:v>46250</c:v>
                </c:pt>
                <c:pt idx="23">
                  <c:v>46251</c:v>
                </c:pt>
                <c:pt idx="24">
                  <c:v>46252</c:v>
                </c:pt>
                <c:pt idx="25">
                  <c:v>46253</c:v>
                </c:pt>
                <c:pt idx="26">
                  <c:v>46254</c:v>
                </c:pt>
                <c:pt idx="27">
                  <c:v>46255</c:v>
                </c:pt>
                <c:pt idx="28">
                  <c:v>46256</c:v>
                </c:pt>
                <c:pt idx="29">
                  <c:v>46257</c:v>
                </c:pt>
                <c:pt idx="30">
                  <c:v>46258</c:v>
                </c:pt>
                <c:pt idx="31">
                  <c:v>46259</c:v>
                </c:pt>
                <c:pt idx="32">
                  <c:v>46260</c:v>
                </c:pt>
                <c:pt idx="33">
                  <c:v>46261</c:v>
                </c:pt>
              </c:numCache>
            </c:numRef>
          </c:cat>
          <c:val>
            <c:numRef>
              <c:f>'Analisis de Costos'!$BA$13:$BA$46</c:f>
              <c:numCache>
                <c:formatCode>General</c:formatCode>
                <c:ptCount val="34"/>
                <c:pt idx="0">
                  <c:v>2081919.1658136412</c:v>
                </c:pt>
                <c:pt idx="1">
                  <c:v>1335155.3368787307</c:v>
                </c:pt>
                <c:pt idx="2">
                  <c:v>1756066.5910880044</c:v>
                </c:pt>
                <c:pt idx="3">
                  <c:v>5813960.8838351285</c:v>
                </c:pt>
                <c:pt idx="4">
                  <c:v>2237074.6354868351</c:v>
                </c:pt>
                <c:pt idx="5">
                  <c:v>1306384.782648155</c:v>
                </c:pt>
                <c:pt idx="6">
                  <c:v>1069507.661457354</c:v>
                </c:pt>
                <c:pt idx="7">
                  <c:v>21798003.663083471</c:v>
                </c:pt>
                <c:pt idx="8">
                  <c:v>856824.12564665498</c:v>
                </c:pt>
                <c:pt idx="9">
                  <c:v>1116223.4972597347</c:v>
                </c:pt>
                <c:pt idx="10">
                  <c:v>3003554.7341897017</c:v>
                </c:pt>
                <c:pt idx="11">
                  <c:v>1874739.7176045233</c:v>
                </c:pt>
                <c:pt idx="12">
                  <c:v>1624967.7509977522</c:v>
                </c:pt>
                <c:pt idx="13">
                  <c:v>837758.62186523539</c:v>
                </c:pt>
                <c:pt idx="14">
                  <c:v>837279.59477567079</c:v>
                </c:pt>
                <c:pt idx="15">
                  <c:v>839204.96518217225</c:v>
                </c:pt>
                <c:pt idx="16">
                  <c:v>953976.52527474635</c:v>
                </c:pt>
                <c:pt idx="17">
                  <c:v>8624500.0762798972</c:v>
                </c:pt>
                <c:pt idx="18">
                  <c:v>1851121.4495353734</c:v>
                </c:pt>
                <c:pt idx="19">
                  <c:v>1368924.1053399432</c:v>
                </c:pt>
                <c:pt idx="20">
                  <c:v>40413286.596696071</c:v>
                </c:pt>
                <c:pt idx="21">
                  <c:v>836458.36382579815</c:v>
                </c:pt>
                <c:pt idx="22">
                  <c:v>2642018.0884980904</c:v>
                </c:pt>
                <c:pt idx="23">
                  <c:v>895879.86622414854</c:v>
                </c:pt>
                <c:pt idx="24">
                  <c:v>892746.09697851131</c:v>
                </c:pt>
                <c:pt idx="25">
                  <c:v>882576.38944291347</c:v>
                </c:pt>
                <c:pt idx="26">
                  <c:v>888944.07902248413</c:v>
                </c:pt>
                <c:pt idx="27">
                  <c:v>1460310.3956479449</c:v>
                </c:pt>
                <c:pt idx="28">
                  <c:v>876459.09098883846</c:v>
                </c:pt>
                <c:pt idx="29">
                  <c:v>862969.65013444982</c:v>
                </c:pt>
                <c:pt idx="30">
                  <c:v>877909.59404196963</c:v>
                </c:pt>
                <c:pt idx="31">
                  <c:v>2217492.5227362653</c:v>
                </c:pt>
                <c:pt idx="32">
                  <c:v>7325194.1585107083</c:v>
                </c:pt>
                <c:pt idx="33">
                  <c:v>6105483.3631525422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C-4232-ADDB-5DEEE1889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607400"/>
        <c:axId val="33401171"/>
      </c:lineChart>
      <c:dateAx>
        <c:axId val="87607400"/>
        <c:scaling>
          <c:orientation val="minMax"/>
        </c:scaling>
        <c:delete val="0"/>
        <c:axPos val="b"/>
        <c:numFmt formatCode="[$-240A]dd/mm/yy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33401171"/>
        <c:crosses val="autoZero"/>
        <c:auto val="1"/>
        <c:lblOffset val="100"/>
        <c:baseTimeUnit val="days"/>
      </c:dateAx>
      <c:valAx>
        <c:axId val="334011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8760740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700" b="0" u="none" strike="noStrike">
              <a:uFillTx/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Procesamiento, plataforma y licenciamiento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de Costos'!$AL$3</c:f>
              <c:strCache>
                <c:ptCount val="1"/>
                <c:pt idx="0">
                  <c:v>COP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&gt;=1000000]&quot;COP &quot;0.0,,&quot; M&quot;;[&gt;=1000]&quot;COP &quot;0.0,&quot; K&quot;;&quot;COP &quot;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Costos'!$AK$4:$AK$7</c:f>
              <c:strCache>
                <c:ptCount val="4"/>
                <c:pt idx="0">
                  <c:v>Procesamiento AWS</c:v>
                </c:pt>
                <c:pt idx="1">
                  <c:v>Plataforma prod. y soporte</c:v>
                </c:pt>
                <c:pt idx="2">
                  <c:v>Plataforma pruebas</c:v>
                </c:pt>
                <c:pt idx="3">
                  <c:v>Licenciamiento</c:v>
                </c:pt>
              </c:strCache>
            </c:strRef>
          </c:cat>
          <c:val>
            <c:numRef>
              <c:f>'Analisis de Costos'!$AL$4:$AL$7</c:f>
              <c:numCache>
                <c:formatCode>General</c:formatCode>
                <c:ptCount val="4"/>
                <c:pt idx="0">
                  <c:v>65254104.035037942</c:v>
                </c:pt>
                <c:pt idx="1">
                  <c:v>32829078.851735782</c:v>
                </c:pt>
                <c:pt idx="2">
                  <c:v>30281693.253366403</c:v>
                </c:pt>
                <c:pt idx="3">
                  <c:v>49593119.066628851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8-4326-A4D5-F8E02E6F2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088849"/>
        <c:axId val="23981999"/>
      </c:barChart>
      <c:catAx>
        <c:axId val="1808884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23981999"/>
        <c:crosses val="autoZero"/>
        <c:auto val="1"/>
        <c:lblAlgn val="ctr"/>
        <c:lblOffset val="100"/>
        <c:noMultiLvlLbl val="0"/>
      </c:catAx>
      <c:valAx>
        <c:axId val="2398199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[&gt;=1000000]&quot;COP &quot;0.0,,&quot; M&quot;;[&gt;=1000]&quot;COP &quot;0.0,&quot; K&quot;;&quot;COP &quot;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180888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Top 10 servicios por costo facturable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de Costos'!$AL$80</c:f>
              <c:strCache>
                <c:ptCount val="1"/>
                <c:pt idx="0">
                  <c:v>Total facturable COP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&gt;=1000000]&quot;COP &quot;0.0,,&quot; M&quot;;[&gt;=1000]&quot;COP &quot;0.0,&quot; K&quot;;&quot;COP &quot;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Costos'!$AK$81:$AK$90</c:f>
              <c:strCache>
                <c:ptCount val="10"/>
                <c:pt idx="0">
                  <c:v>Claude Opus 4.6 (Amazon Bedrock Edition)</c:v>
                </c:pt>
                <c:pt idx="1">
                  <c:v>AWS Enterprise Support</c:v>
                </c:pt>
                <c:pt idx="2">
                  <c:v>Amazon QuickSight</c:v>
                </c:pt>
                <c:pt idx="3">
                  <c:v>Amazon EC2</c:v>
                </c:pt>
                <c:pt idx="4">
                  <c:v>Amazon ECS / Fargate</c:v>
                </c:pt>
                <c:pt idx="5">
                  <c:v>Amazon OpenSearch Service</c:v>
                </c:pt>
                <c:pt idx="6">
                  <c:v>Amazon RDS</c:v>
                </c:pt>
                <c:pt idx="7">
                  <c:v>Claude Haiku 4.5 (Amazon Bedrock Edition)</c:v>
                </c:pt>
                <c:pt idx="8">
                  <c:v>AWS Systems Manager</c:v>
                </c:pt>
                <c:pt idx="9">
                  <c:v>Amazon CloudWatch</c:v>
                </c:pt>
              </c:strCache>
            </c:strRef>
          </c:cat>
          <c:val>
            <c:numRef>
              <c:f>'Analisis de Costos'!$AL$81:$AL$90</c:f>
              <c:numCache>
                <c:formatCode>General</c:formatCode>
                <c:ptCount val="10"/>
                <c:pt idx="0">
                  <c:v>120911547.13167547</c:v>
                </c:pt>
                <c:pt idx="1">
                  <c:v>20895270.413999997</c:v>
                </c:pt>
                <c:pt idx="2">
                  <c:v>8349505.4360853331</c:v>
                </c:pt>
                <c:pt idx="3">
                  <c:v>5814352.4345865911</c:v>
                </c:pt>
                <c:pt idx="4">
                  <c:v>3462110.684088117</c:v>
                </c:pt>
                <c:pt idx="5">
                  <c:v>3371362.1955144969</c:v>
                </c:pt>
                <c:pt idx="6">
                  <c:v>2663512.2779829581</c:v>
                </c:pt>
                <c:pt idx="7">
                  <c:v>1818206.5634816634</c:v>
                </c:pt>
                <c:pt idx="8">
                  <c:v>1725418.3072412801</c:v>
                </c:pt>
                <c:pt idx="9">
                  <c:v>1638261.2597729689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D-444E-A96C-009E45189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6728"/>
        <c:axId val="30792621"/>
      </c:barChart>
      <c:catAx>
        <c:axId val="496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30792621"/>
        <c:crosses val="autoZero"/>
        <c:auto val="1"/>
        <c:lblAlgn val="ctr"/>
        <c:lblOffset val="100"/>
        <c:noMultiLvlLbl val="0"/>
      </c:catAx>
      <c:valAx>
        <c:axId val="3079262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[&gt;=1000000]&quot;COP &quot;0.0,,&quot; M&quot;;[&gt;=1000]&quot;COP &quot;0.0,&quot; K&quot;;&quot;COP &quot;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4967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Costo por modelo: AWS y licenciamiento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'Analisis de Costos'!$BD$12</c:f>
              <c:strCache>
                <c:ptCount val="1"/>
                <c:pt idx="0">
                  <c:v>Costo AWS COP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&gt;=1000000]&quot;COP &quot;0.0,,&quot; M&quot;;[&gt;=1000]&quot;COP &quot;0.0,&quot; K&quot;;&quot;COP &quot;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Costos'!$BC$13:$BC$17</c:f>
              <c:strCache>
                <c:ptCount val="5"/>
                <c:pt idx="0">
                  <c:v>Claude Opus 4.6</c:v>
                </c:pt>
                <c:pt idx="1">
                  <c:v>Claude Haiku 4.5</c:v>
                </c:pt>
                <c:pt idx="2">
                  <c:v>Claude Sonnet 4.6</c:v>
                </c:pt>
                <c:pt idx="3">
                  <c:v>Claude Sonnet 4.5</c:v>
                </c:pt>
                <c:pt idx="4">
                  <c:v>Claude Opus 4.7</c:v>
                </c:pt>
              </c:strCache>
            </c:strRef>
          </c:cat>
          <c:val>
            <c:numRef>
              <c:f>'Analisis de Costos'!$BD$13:$BD$17</c:f>
              <c:numCache>
                <c:formatCode>General</c:formatCode>
                <c:ptCount val="5"/>
                <c:pt idx="0">
                  <c:v>72900872.29300651</c:v>
                </c:pt>
                <c:pt idx="1">
                  <c:v>1072780.6980880329</c:v>
                </c:pt>
                <c:pt idx="2">
                  <c:v>879350.13827906852</c:v>
                </c:pt>
                <c:pt idx="3">
                  <c:v>73443.756758215794</c:v>
                </c:pt>
                <c:pt idx="4">
                  <c:v>436.489612405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8-4FC0-9887-96FA35786CFA}"/>
            </c:ext>
          </c:extLst>
        </c:ser>
        <c:ser>
          <c:idx val="1"/>
          <c:order val="1"/>
          <c:tx>
            <c:strRef>
              <c:f>'Analisis de Costos'!$BE$12</c:f>
              <c:strCache>
                <c:ptCount val="1"/>
                <c:pt idx="0">
                  <c:v>Licenciamiento COP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[&gt;=1000000]&quot;COP &quot;0.0,,&quot; M&quot;;[&gt;=1000]&quot;COP &quot;0.0,&quot; K&quot;;&quot;COP &quot;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Costos'!$BC$13:$BC$17</c:f>
              <c:strCache>
                <c:ptCount val="5"/>
                <c:pt idx="0">
                  <c:v>Claude Opus 4.6</c:v>
                </c:pt>
                <c:pt idx="1">
                  <c:v>Claude Haiku 4.5</c:v>
                </c:pt>
                <c:pt idx="2">
                  <c:v>Claude Sonnet 4.6</c:v>
                </c:pt>
                <c:pt idx="3">
                  <c:v>Claude Sonnet 4.5</c:v>
                </c:pt>
                <c:pt idx="4">
                  <c:v>Claude Opus 4.7</c:v>
                </c:pt>
              </c:strCache>
            </c:strRef>
          </c:cat>
          <c:val>
            <c:numRef>
              <c:f>'Analisis de Costos'!$BE$13:$BE$17</c:f>
              <c:numCache>
                <c:formatCode>General</c:formatCode>
                <c:ptCount val="5"/>
                <c:pt idx="0">
                  <c:v>48010674.838668965</c:v>
                </c:pt>
                <c:pt idx="1">
                  <c:v>745425.86539362872</c:v>
                </c:pt>
                <c:pt idx="2">
                  <c:v>534603.93655368476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A8-4FC0-9887-96FA35786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3443762"/>
        <c:axId val="307656"/>
      </c:barChart>
      <c:catAx>
        <c:axId val="8344376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307656"/>
        <c:crosses val="autoZero"/>
        <c:auto val="1"/>
        <c:lblAlgn val="ctr"/>
        <c:lblOffset val="100"/>
        <c:noMultiLvlLbl val="0"/>
      </c:catAx>
      <c:valAx>
        <c:axId val="30765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[&gt;=1000000]&quot;COP &quot;0.0,,&quot; M&quot;;[&gt;=1000]&quot;COP &quot;0.0,&quot; K&quot;;&quot;COP &quot;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834437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700" b="0" u="none" strike="noStrike">
              <a:uFillTx/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Costo facturable total por cuenta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de Costos'!$AT$12</c:f>
              <c:strCache>
                <c:ptCount val="1"/>
                <c:pt idx="0">
                  <c:v>Total facturable COP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&gt;=1000000]&quot;COP &quot;0.0,,&quot; M&quot;;[&gt;=1000]&quot;COP &quot;0.0,&quot; K&quot;;&quot;COP &quot;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Costos'!$AS$13:$AS$20</c:f>
              <c:strCache>
                <c:ptCount val="8"/>
                <c:pt idx="0">
                  <c:v>ADRES - PROD - Medical Audit</c:v>
                </c:pt>
                <c:pt idx="1">
                  <c:v>ADRES - TEST - Medical Audit</c:v>
                </c:pt>
                <c:pt idx="2">
                  <c:v>ADRES - PROD - Master</c:v>
                </c:pt>
                <c:pt idx="3">
                  <c:v>ADRES - TEST - Shared Resources</c:v>
                </c:pt>
                <c:pt idx="4">
                  <c:v>ADRES - PROD - Shared Resources</c:v>
                </c:pt>
                <c:pt idx="5">
                  <c:v>ADRES - PROD - Networking</c:v>
                </c:pt>
                <c:pt idx="6">
                  <c:v>ADRES - PROD - Tooling</c:v>
                </c:pt>
                <c:pt idx="7">
                  <c:v>ADRES - PROD - Logs Archive</c:v>
                </c:pt>
              </c:strCache>
            </c:strRef>
          </c:cat>
          <c:val>
            <c:numRef>
              <c:f>'Analisis de Costos'!$AT$13:$AT$20</c:f>
              <c:numCache>
                <c:formatCode>General</c:formatCode>
                <c:ptCount val="8"/>
                <c:pt idx="0">
                  <c:v>122610705.2836618</c:v>
                </c:pt>
                <c:pt idx="1">
                  <c:v>30281693.253366403</c:v>
                </c:pt>
                <c:pt idx="2">
                  <c:v>21161408.789485298</c:v>
                </c:pt>
                <c:pt idx="3">
                  <c:v>2100229.8195826644</c:v>
                </c:pt>
                <c:pt idx="4">
                  <c:v>941534.90177679446</c:v>
                </c:pt>
                <c:pt idx="5">
                  <c:v>796086.97331476153</c:v>
                </c:pt>
                <c:pt idx="6">
                  <c:v>65891.64579654696</c:v>
                </c:pt>
                <c:pt idx="7">
                  <c:v>444.53979307846345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8-4BF3-8557-F4CC3CB2C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38621"/>
        <c:axId val="27108203"/>
      </c:barChart>
      <c:catAx>
        <c:axId val="1973862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27108203"/>
        <c:crosses val="autoZero"/>
        <c:auto val="1"/>
        <c:lblAlgn val="ctr"/>
        <c:lblOffset val="100"/>
        <c:noMultiLvlLbl val="0"/>
      </c:catAx>
      <c:valAx>
        <c:axId val="2710820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[&gt;=1000000]&quot;COP &quot;0.0,,&quot; M&quot;;[&gt;=1000]&quot;COP &quot;0.0,&quot; K&quot;;&quot;COP &quot;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197386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Top 10 categorias tecnicas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de Costos'!$AP$80</c:f>
              <c:strCache>
                <c:ptCount val="1"/>
                <c:pt idx="0">
                  <c:v>Total facturable COP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&gt;=1000000]&quot;COP &quot;0.0,,&quot; M&quot;;[&gt;=1000]&quot;COP &quot;0.0,&quot; K&quot;;&quot;COP &quot;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Costos'!$AO$81:$AO$90</c:f>
              <c:strCache>
                <c:ptCount val="10"/>
                <c:pt idx="0">
                  <c:v>GenAI</c:v>
                </c:pt>
                <c:pt idx="1">
                  <c:v>Soporte AWS</c:v>
                </c:pt>
                <c:pt idx="2">
                  <c:v>Analitica y BI</c:v>
                </c:pt>
                <c:pt idx="3">
                  <c:v>Busqueda y analitica</c:v>
                </c:pt>
                <c:pt idx="4">
                  <c:v>Base de datos</c:v>
                </c:pt>
                <c:pt idx="5">
                  <c:v>Operaciones y gestion</c:v>
                </c:pt>
                <c:pt idx="6">
                  <c:v>Observabilidad</c:v>
                </c:pt>
                <c:pt idx="7">
                  <c:v>Seguridad</c:v>
                </c:pt>
                <c:pt idx="8">
                  <c:v>Networking</c:v>
                </c:pt>
                <c:pt idx="9">
                  <c:v>Gobierno y cumplimiento</c:v>
                </c:pt>
              </c:strCache>
            </c:strRef>
          </c:cat>
          <c:val>
            <c:numRef>
              <c:f>'Analisis de Costos'!$AP$81:$AP$90</c:f>
              <c:numCache>
                <c:formatCode>General</c:formatCode>
                <c:ptCount val="10"/>
                <c:pt idx="0">
                  <c:v>124671217.16345675</c:v>
                </c:pt>
                <c:pt idx="1">
                  <c:v>20895270.413999997</c:v>
                </c:pt>
                <c:pt idx="2">
                  <c:v>8397938.4288560618</c:v>
                </c:pt>
                <c:pt idx="3">
                  <c:v>3371362.1955144969</c:v>
                </c:pt>
                <c:pt idx="4">
                  <c:v>2873413.6992064477</c:v>
                </c:pt>
                <c:pt idx="5">
                  <c:v>1725418.3072412801</c:v>
                </c:pt>
                <c:pt idx="6">
                  <c:v>1644558.5339031674</c:v>
                </c:pt>
                <c:pt idx="7">
                  <c:v>1559771.2203427898</c:v>
                </c:pt>
                <c:pt idx="8">
                  <c:v>1404208.8355208738</c:v>
                </c:pt>
                <c:pt idx="9">
                  <c:v>1029176.0908800003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6-4EFF-A251-8A46C4F70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098814"/>
        <c:axId val="90749853"/>
      </c:barChart>
      <c:catAx>
        <c:axId val="1609881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90749853"/>
        <c:crosses val="autoZero"/>
        <c:auto val="1"/>
        <c:lblAlgn val="ctr"/>
        <c:lblOffset val="100"/>
        <c:noMultiLvlLbl val="0"/>
      </c:catAx>
      <c:valAx>
        <c:axId val="9074985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[&gt;=1000000]&quot;COP &quot;0.0,,&quot; M&quot;;[&gt;=1000]&quot;COP &quot;0.0,&quot; K&quot;;&quot;COP &quot;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160988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Distribucion completa del costo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de Costos'!$AP$80</c:f>
              <c:strCache>
                <c:ptCount val="1"/>
                <c:pt idx="0">
                  <c:v>Total facturable COP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&gt;=1000000]&quot;COP &quot;0.0,,&quot; M&quot;;[&gt;=1000]&quot;COP &quot;0.0,&quot; K&quot;;&quot;COP &quot;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Costos'!$AO$81:$AO$102</c:f>
              <c:strCache>
                <c:ptCount val="22"/>
                <c:pt idx="0">
                  <c:v>GenAI</c:v>
                </c:pt>
                <c:pt idx="1">
                  <c:v>Soporte AWS</c:v>
                </c:pt>
                <c:pt idx="2">
                  <c:v>Analitica y BI</c:v>
                </c:pt>
                <c:pt idx="3">
                  <c:v>Busqueda y analitica</c:v>
                </c:pt>
                <c:pt idx="4">
                  <c:v>Base de datos</c:v>
                </c:pt>
                <c:pt idx="5">
                  <c:v>Operaciones y gestion</c:v>
                </c:pt>
                <c:pt idx="6">
                  <c:v>Observabilidad</c:v>
                </c:pt>
                <c:pt idx="7">
                  <c:v>Seguridad</c:v>
                </c:pt>
                <c:pt idx="8">
                  <c:v>Networking</c:v>
                </c:pt>
                <c:pt idx="9">
                  <c:v>Gobierno y cumplimiento</c:v>
                </c:pt>
                <c:pt idx="10">
                  <c:v>DevOps</c:v>
                </c:pt>
                <c:pt idx="11">
                  <c:v>Storage</c:v>
                </c:pt>
                <c:pt idx="12">
                  <c:v>Productividad de desarrollo</c:v>
                </c:pt>
                <c:pt idx="13">
                  <c:v>Integracion y mensajeria</c:v>
                </c:pt>
                <c:pt idx="14">
                  <c:v>Marketplace y software de terceros</c:v>
                </c:pt>
                <c:pt idx="15">
                  <c:v>FinOps</c:v>
                </c:pt>
                <c:pt idx="16">
                  <c:v>Integracion y orquestacion</c:v>
                </c:pt>
                <c:pt idx="17">
                  <c:v>ML</c:v>
                </c:pt>
                <c:pt idx="18">
                  <c:v>Gobierno de datos</c:v>
                </c:pt>
                <c:pt idx="19">
                  <c:v>Comunicaciones</c:v>
                </c:pt>
                <c:pt idx="20">
                  <c:v>Backup y resiliencia</c:v>
                </c:pt>
                <c:pt idx="21">
                  <c:v>Computo</c:v>
                </c:pt>
              </c:strCache>
            </c:strRef>
          </c:cat>
          <c:val>
            <c:numRef>
              <c:f>'Analisis de Costos'!$AP$81:$AP$102</c:f>
              <c:numCache>
                <c:formatCode>General</c:formatCode>
                <c:ptCount val="22"/>
                <c:pt idx="0">
                  <c:v>124671217.16345675</c:v>
                </c:pt>
                <c:pt idx="1">
                  <c:v>20895270.413999997</c:v>
                </c:pt>
                <c:pt idx="2">
                  <c:v>8397938.4288560618</c:v>
                </c:pt>
                <c:pt idx="3">
                  <c:v>3371362.1955144969</c:v>
                </c:pt>
                <c:pt idx="4">
                  <c:v>2873413.6992064477</c:v>
                </c:pt>
                <c:pt idx="5">
                  <c:v>1725418.3072412801</c:v>
                </c:pt>
                <c:pt idx="6">
                  <c:v>1644558.5339031674</c:v>
                </c:pt>
                <c:pt idx="7">
                  <c:v>1559771.2203427898</c:v>
                </c:pt>
                <c:pt idx="8">
                  <c:v>1404208.8355208738</c:v>
                </c:pt>
                <c:pt idx="9">
                  <c:v>1029176.0908800003</c:v>
                </c:pt>
                <c:pt idx="10">
                  <c:v>428349.89636029152</c:v>
                </c:pt>
                <c:pt idx="11">
                  <c:v>186615.91350454258</c:v>
                </c:pt>
                <c:pt idx="12">
                  <c:v>132056.07016823205</c:v>
                </c:pt>
                <c:pt idx="13">
                  <c:v>122977.63889039947</c:v>
                </c:pt>
                <c:pt idx="14">
                  <c:v>59652.211199999954</c:v>
                </c:pt>
                <c:pt idx="15">
                  <c:v>31682.547215241164</c:v>
                </c:pt>
                <c:pt idx="16">
                  <c:v>23076.298537744195</c:v>
                </c:pt>
                <c:pt idx="17">
                  <c:v>7183.922058298177</c:v>
                </c:pt>
                <c:pt idx="18">
                  <c:v>1814.6941406048243</c:v>
                </c:pt>
                <c:pt idx="19">
                  <c:v>452.95642181772803</c:v>
                </c:pt>
                <c:pt idx="20">
                  <c:v>113.62491673033193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B-45BC-B25C-9692CA63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2240727"/>
        <c:axId val="89699925"/>
      </c:barChart>
      <c:catAx>
        <c:axId val="922407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89699925"/>
        <c:crosses val="autoZero"/>
        <c:auto val="1"/>
        <c:lblAlgn val="ctr"/>
        <c:lblOffset val="100"/>
        <c:noMultiLvlLbl val="0"/>
      </c:catAx>
      <c:valAx>
        <c:axId val="8969992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[&gt;=1000000]&quot;COP &quot;0.0,,&quot; M&quot;;[&gt;=1000]&quot;COP &quot;0.0,&quot; K&quot;;&quot;COP &quot;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922407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Top categorias: costo AWS y licenciamiento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'Analisis de Costos'!$BI$12</c:f>
              <c:strCache>
                <c:ptCount val="1"/>
                <c:pt idx="0">
                  <c:v>Costo AWS COP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Costos'!$BH$13:$BH$22</c:f>
              <c:strCache>
                <c:ptCount val="10"/>
                <c:pt idx="0">
                  <c:v>GenAI</c:v>
                </c:pt>
                <c:pt idx="1">
                  <c:v>Soporte AWS</c:v>
                </c:pt>
                <c:pt idx="2">
                  <c:v>Analitica y BI</c:v>
                </c:pt>
                <c:pt idx="3">
                  <c:v>Busqueda y analitica</c:v>
                </c:pt>
                <c:pt idx="4">
                  <c:v>Base de datos</c:v>
                </c:pt>
                <c:pt idx="5">
                  <c:v>Operaciones y gestion</c:v>
                </c:pt>
                <c:pt idx="6">
                  <c:v>Observabilidad</c:v>
                </c:pt>
                <c:pt idx="7">
                  <c:v>Seguridad</c:v>
                </c:pt>
                <c:pt idx="8">
                  <c:v>Networking</c:v>
                </c:pt>
                <c:pt idx="9">
                  <c:v>Gobierno y cumplimiento</c:v>
                </c:pt>
              </c:strCache>
            </c:strRef>
          </c:cat>
          <c:val>
            <c:numRef>
              <c:f>'Analisis de Costos'!$BI$13:$BI$22</c:f>
              <c:numCache>
                <c:formatCode>General</c:formatCode>
                <c:ptCount val="10"/>
                <c:pt idx="0">
                  <c:v>75192344.077459127</c:v>
                </c:pt>
                <c:pt idx="1">
                  <c:v>20895270.413999997</c:v>
                </c:pt>
                <c:pt idx="2">
                  <c:v>8397938.4288560618</c:v>
                </c:pt>
                <c:pt idx="3">
                  <c:v>3371362.1955144969</c:v>
                </c:pt>
                <c:pt idx="4">
                  <c:v>2873413.6992064477</c:v>
                </c:pt>
                <c:pt idx="5">
                  <c:v>1725418.3072412801</c:v>
                </c:pt>
                <c:pt idx="6">
                  <c:v>1644557.0425337316</c:v>
                </c:pt>
                <c:pt idx="7">
                  <c:v>1559771.2203427898</c:v>
                </c:pt>
                <c:pt idx="8">
                  <c:v>1404203.5920505133</c:v>
                </c:pt>
                <c:pt idx="9">
                  <c:v>1029176.0908800003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2-48EA-BB0E-E45A44969A1B}"/>
            </c:ext>
          </c:extLst>
        </c:ser>
        <c:ser>
          <c:idx val="1"/>
          <c:order val="1"/>
          <c:tx>
            <c:strRef>
              <c:f>'Analisis de Costos'!$BJ$12</c:f>
              <c:strCache>
                <c:ptCount val="1"/>
                <c:pt idx="0">
                  <c:v>Licenciamiento COP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 xmlns:ns2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'Analisis de Costos'!$BH$13:$BH$22</c:f>
              <c:strCache>
                <c:ptCount val="10"/>
                <c:pt idx="0">
                  <c:v>GenAI</c:v>
                </c:pt>
                <c:pt idx="1">
                  <c:v>Soporte AWS</c:v>
                </c:pt>
                <c:pt idx="2">
                  <c:v>Analitica y BI</c:v>
                </c:pt>
                <c:pt idx="3">
                  <c:v>Busqueda y analitica</c:v>
                </c:pt>
                <c:pt idx="4">
                  <c:v>Base de datos</c:v>
                </c:pt>
                <c:pt idx="5">
                  <c:v>Operaciones y gestion</c:v>
                </c:pt>
                <c:pt idx="6">
                  <c:v>Observabilidad</c:v>
                </c:pt>
                <c:pt idx="7">
                  <c:v>Seguridad</c:v>
                </c:pt>
                <c:pt idx="8">
                  <c:v>Networking</c:v>
                </c:pt>
                <c:pt idx="9">
                  <c:v>Gobierno y cumplimiento</c:v>
                </c:pt>
              </c:strCache>
            </c:strRef>
          </c:cat>
          <c:val>
            <c:numRef>
              <c:f>'Analisis de Costos'!$BJ$13:$BJ$22</c:f>
              <c:numCache>
                <c:formatCode>General</c:formatCode>
                <c:ptCount val="10"/>
                <c:pt idx="0">
                  <c:v>49478873.085997693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1.4913694353683207</c:v>
                </c:pt>
                <c:pt idx="7">
                  <c:v>0</c:v>
                </c:pt>
                <c:pt idx="8">
                  <c:v>5.2434703607545599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2-48EA-BB0E-E45A44969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6076866"/>
        <c:axId val="28533278"/>
      </c:barChart>
      <c:catAx>
        <c:axId val="6607686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28533278"/>
        <c:crosses val="autoZero"/>
        <c:auto val="1"/>
        <c:lblAlgn val="ctr"/>
        <c:lblOffset val="100"/>
        <c:noMultiLvlLbl val="0"/>
      </c:catAx>
      <c:valAx>
        <c:axId val="2853327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[&gt;=1000000]&quot;COP &quot;0.0,,&quot; M&quot;;[&gt;=1000]&quot;COP &quot;0.0,&quot; K&quot;;&quot;COP &quot;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660768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700" b="0" u="none" strike="noStrike">
              <a:uFillTx/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000" b="0" u="none" strike="noStrike">
                <a:uFillTx/>
                <a:latin typeface="Arial"/>
              </a:defRPr>
            </a:pPr>
            <a:r>
              <a:rPr lang="en-US" sz="1000" b="0" u="none" strike="noStrike">
                <a:uFillTx/>
                <a:latin typeface="Arial"/>
              </a:rPr>
              <a:t>Evolucion diaria del costo AWS por rubro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'Analisis de Costos'!$BR$12</c:f>
              <c:strCache>
                <c:ptCount val="1"/>
                <c:pt idx="0">
                  <c:v>Procesamiento AWS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'Analisis de Costos'!$BQ$13:$BQ$46</c:f>
              <c:numCache>
                <c:formatCode>[$-240A]dd/mm/yyyy</c:formatCode>
                <c:ptCount val="34"/>
                <c:pt idx="0">
                  <c:v>46228</c:v>
                </c:pt>
                <c:pt idx="1">
                  <c:v>46229</c:v>
                </c:pt>
                <c:pt idx="2">
                  <c:v>46230</c:v>
                </c:pt>
                <c:pt idx="3">
                  <c:v>46231</c:v>
                </c:pt>
                <c:pt idx="4">
                  <c:v>46232</c:v>
                </c:pt>
                <c:pt idx="5">
                  <c:v>46233</c:v>
                </c:pt>
                <c:pt idx="6">
                  <c:v>46234</c:v>
                </c:pt>
                <c:pt idx="7">
                  <c:v>46235</c:v>
                </c:pt>
                <c:pt idx="8">
                  <c:v>46236</c:v>
                </c:pt>
                <c:pt idx="9">
                  <c:v>46237</c:v>
                </c:pt>
                <c:pt idx="10">
                  <c:v>46238</c:v>
                </c:pt>
                <c:pt idx="11">
                  <c:v>46239</c:v>
                </c:pt>
                <c:pt idx="12">
                  <c:v>46240</c:v>
                </c:pt>
                <c:pt idx="13">
                  <c:v>46241</c:v>
                </c:pt>
                <c:pt idx="14">
                  <c:v>46242</c:v>
                </c:pt>
                <c:pt idx="15">
                  <c:v>46243</c:v>
                </c:pt>
                <c:pt idx="16">
                  <c:v>46244</c:v>
                </c:pt>
                <c:pt idx="17">
                  <c:v>46245</c:v>
                </c:pt>
                <c:pt idx="18">
                  <c:v>46246</c:v>
                </c:pt>
                <c:pt idx="19">
                  <c:v>46247</c:v>
                </c:pt>
                <c:pt idx="20">
                  <c:v>46248</c:v>
                </c:pt>
                <c:pt idx="21">
                  <c:v>46249</c:v>
                </c:pt>
                <c:pt idx="22">
                  <c:v>46250</c:v>
                </c:pt>
                <c:pt idx="23">
                  <c:v>46251</c:v>
                </c:pt>
                <c:pt idx="24">
                  <c:v>46252</c:v>
                </c:pt>
                <c:pt idx="25">
                  <c:v>46253</c:v>
                </c:pt>
                <c:pt idx="26">
                  <c:v>46254</c:v>
                </c:pt>
                <c:pt idx="27">
                  <c:v>46255</c:v>
                </c:pt>
                <c:pt idx="28">
                  <c:v>46256</c:v>
                </c:pt>
                <c:pt idx="29">
                  <c:v>46257</c:v>
                </c:pt>
                <c:pt idx="30">
                  <c:v>46258</c:v>
                </c:pt>
                <c:pt idx="31">
                  <c:v>46259</c:v>
                </c:pt>
                <c:pt idx="32">
                  <c:v>46260</c:v>
                </c:pt>
                <c:pt idx="33">
                  <c:v>46261</c:v>
                </c:pt>
              </c:numCache>
            </c:numRef>
          </c:cat>
          <c:val>
            <c:numRef>
              <c:f>'Analisis de Costos'!$BR$13:$BR$46</c:f>
              <c:numCache>
                <c:formatCode>General</c:formatCode>
                <c:ptCount val="34"/>
                <c:pt idx="0">
                  <c:v>46.517038823964</c:v>
                </c:pt>
                <c:pt idx="1">
                  <c:v>48.890303508619994</c:v>
                </c:pt>
                <c:pt idx="2">
                  <c:v>519647.79103871377</c:v>
                </c:pt>
                <c:pt idx="3">
                  <c:v>4040261.9402583074</c:v>
                </c:pt>
                <c:pt idx="4">
                  <c:v>459723.95299645071</c:v>
                </c:pt>
                <c:pt idx="5">
                  <c:v>47.866057132031997</c:v>
                </c:pt>
                <c:pt idx="6">
                  <c:v>47.573785421208001</c:v>
                </c:pt>
                <c:pt idx="7">
                  <c:v>45.559377400548001</c:v>
                </c:pt>
                <c:pt idx="8">
                  <c:v>44.701672175587994</c:v>
                </c:pt>
                <c:pt idx="9">
                  <c:v>46.390443453911999</c:v>
                </c:pt>
                <c:pt idx="10">
                  <c:v>48.484369480371996</c:v>
                </c:pt>
                <c:pt idx="11">
                  <c:v>44.017175845127994</c:v>
                </c:pt>
                <c:pt idx="12">
                  <c:v>12.302545934868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92786.215431140852</c:v>
                </c:pt>
                <c:pt idx="17">
                  <c:v>7390560.1160135278</c:v>
                </c:pt>
                <c:pt idx="18">
                  <c:v>876719.94414100633</c:v>
                </c:pt>
                <c:pt idx="19">
                  <c:v>47523.963482111707</c:v>
                </c:pt>
                <c:pt idx="20">
                  <c:v>38994819.574193358</c:v>
                </c:pt>
                <c:pt idx="21">
                  <c:v>0</c:v>
                </c:pt>
                <c:pt idx="22">
                  <c:v>1691586.7620653543</c:v>
                </c:pt>
                <c:pt idx="23">
                  <c:v>21863.842824097621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18.943576532072001</c:v>
                </c:pt>
                <c:pt idx="32">
                  <c:v>5945463.1864199955</c:v>
                </c:pt>
                <c:pt idx="33">
                  <c:v>5172695.4998281803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9-423E-9DEE-A83752B1F5DE}"/>
            </c:ext>
          </c:extLst>
        </c:ser>
        <c:ser>
          <c:idx val="1"/>
          <c:order val="1"/>
          <c:tx>
            <c:strRef>
              <c:f>'Analisis de Costos'!$BS$12</c:f>
              <c:strCache>
                <c:ptCount val="1"/>
                <c:pt idx="0">
                  <c:v>Plataforma prod. y soporte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'Analisis de Costos'!$BQ$13:$BQ$46</c:f>
              <c:numCache>
                <c:formatCode>[$-240A]dd/mm/yyyy</c:formatCode>
                <c:ptCount val="34"/>
                <c:pt idx="0">
                  <c:v>46228</c:v>
                </c:pt>
                <c:pt idx="1">
                  <c:v>46229</c:v>
                </c:pt>
                <c:pt idx="2">
                  <c:v>46230</c:v>
                </c:pt>
                <c:pt idx="3">
                  <c:v>46231</c:v>
                </c:pt>
                <c:pt idx="4">
                  <c:v>46232</c:v>
                </c:pt>
                <c:pt idx="5">
                  <c:v>46233</c:v>
                </c:pt>
                <c:pt idx="6">
                  <c:v>46234</c:v>
                </c:pt>
                <c:pt idx="7">
                  <c:v>46235</c:v>
                </c:pt>
                <c:pt idx="8">
                  <c:v>46236</c:v>
                </c:pt>
                <c:pt idx="9">
                  <c:v>46237</c:v>
                </c:pt>
                <c:pt idx="10">
                  <c:v>46238</c:v>
                </c:pt>
                <c:pt idx="11">
                  <c:v>46239</c:v>
                </c:pt>
                <c:pt idx="12">
                  <c:v>46240</c:v>
                </c:pt>
                <c:pt idx="13">
                  <c:v>46241</c:v>
                </c:pt>
                <c:pt idx="14">
                  <c:v>46242</c:v>
                </c:pt>
                <c:pt idx="15">
                  <c:v>46243</c:v>
                </c:pt>
                <c:pt idx="16">
                  <c:v>46244</c:v>
                </c:pt>
                <c:pt idx="17">
                  <c:v>46245</c:v>
                </c:pt>
                <c:pt idx="18">
                  <c:v>46246</c:v>
                </c:pt>
                <c:pt idx="19">
                  <c:v>46247</c:v>
                </c:pt>
                <c:pt idx="20">
                  <c:v>46248</c:v>
                </c:pt>
                <c:pt idx="21">
                  <c:v>46249</c:v>
                </c:pt>
                <c:pt idx="22">
                  <c:v>46250</c:v>
                </c:pt>
                <c:pt idx="23">
                  <c:v>46251</c:v>
                </c:pt>
                <c:pt idx="24">
                  <c:v>46252</c:v>
                </c:pt>
                <c:pt idx="25">
                  <c:v>46253</c:v>
                </c:pt>
                <c:pt idx="26">
                  <c:v>46254</c:v>
                </c:pt>
                <c:pt idx="27">
                  <c:v>46255</c:v>
                </c:pt>
                <c:pt idx="28">
                  <c:v>46256</c:v>
                </c:pt>
                <c:pt idx="29">
                  <c:v>46257</c:v>
                </c:pt>
                <c:pt idx="30">
                  <c:v>46258</c:v>
                </c:pt>
                <c:pt idx="31">
                  <c:v>46259</c:v>
                </c:pt>
                <c:pt idx="32">
                  <c:v>46260</c:v>
                </c:pt>
                <c:pt idx="33">
                  <c:v>46261</c:v>
                </c:pt>
              </c:numCache>
            </c:numRef>
          </c:cat>
          <c:val>
            <c:numRef>
              <c:f>'Analisis de Costos'!$BS$13:$BS$46</c:f>
              <c:numCache>
                <c:formatCode>General</c:formatCode>
                <c:ptCount val="34"/>
                <c:pt idx="0">
                  <c:v>270280.26335172029</c:v>
                </c:pt>
                <c:pt idx="1">
                  <c:v>274887.80622004939</c:v>
                </c:pt>
                <c:pt idx="2">
                  <c:v>290352.4771420164</c:v>
                </c:pt>
                <c:pt idx="3">
                  <c:v>363552.54966839147</c:v>
                </c:pt>
                <c:pt idx="4">
                  <c:v>304430.69212100754</c:v>
                </c:pt>
                <c:pt idx="5">
                  <c:v>306817.87021825783</c:v>
                </c:pt>
                <c:pt idx="6">
                  <c:v>307605.06931298366</c:v>
                </c:pt>
                <c:pt idx="7">
                  <c:v>21167421.712412756</c:v>
                </c:pt>
                <c:pt idx="8">
                  <c:v>265368.18700359657</c:v>
                </c:pt>
                <c:pt idx="9">
                  <c:v>297980.15931230946</c:v>
                </c:pt>
                <c:pt idx="10">
                  <c:v>286854.62780588237</c:v>
                </c:pt>
                <c:pt idx="11">
                  <c:v>291381.24944554351</c:v>
                </c:pt>
                <c:pt idx="12">
                  <c:v>260690.00403208841</c:v>
                </c:pt>
                <c:pt idx="13">
                  <c:v>257023.72423744708</c:v>
                </c:pt>
                <c:pt idx="14">
                  <c:v>256758.43484500531</c:v>
                </c:pt>
                <c:pt idx="15">
                  <c:v>257826.92059022852</c:v>
                </c:pt>
                <c:pt idx="16">
                  <c:v>260083.98290672898</c:v>
                </c:pt>
                <c:pt idx="17">
                  <c:v>501263.41621970176</c:v>
                </c:pt>
                <c:pt idx="18">
                  <c:v>274913.55667385017</c:v>
                </c:pt>
                <c:pt idx="19">
                  <c:v>725140.83896689198</c:v>
                </c:pt>
                <c:pt idx="20">
                  <c:v>827503.17334631854</c:v>
                </c:pt>
                <c:pt idx="21">
                  <c:v>291484.62855184037</c:v>
                </c:pt>
                <c:pt idx="22">
                  <c:v>405638.53014206386</c:v>
                </c:pt>
                <c:pt idx="23">
                  <c:v>329595.16260440793</c:v>
                </c:pt>
                <c:pt idx="24">
                  <c:v>343380.74334211019</c:v>
                </c:pt>
                <c:pt idx="25">
                  <c:v>336638.65646939195</c:v>
                </c:pt>
                <c:pt idx="26">
                  <c:v>342899.14390701224</c:v>
                </c:pt>
                <c:pt idx="27">
                  <c:v>340352.81086729624</c:v>
                </c:pt>
                <c:pt idx="28">
                  <c:v>344300.94107919623</c:v>
                </c:pt>
                <c:pt idx="29">
                  <c:v>344590.75536418019</c:v>
                </c:pt>
                <c:pt idx="30">
                  <c:v>349688.89331243542</c:v>
                </c:pt>
                <c:pt idx="31">
                  <c:v>359492.08455172682</c:v>
                </c:pt>
                <c:pt idx="32">
                  <c:v>550510.58728823729</c:v>
                </c:pt>
                <c:pt idx="33">
                  <c:v>442369.1984269119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9-423E-9DEE-A83752B1F5DE}"/>
            </c:ext>
          </c:extLst>
        </c:ser>
        <c:ser>
          <c:idx val="2"/>
          <c:order val="2"/>
          <c:tx>
            <c:strRef>
              <c:f>'Analisis de Costos'!$BT$12</c:f>
              <c:strCache>
                <c:ptCount val="1"/>
                <c:pt idx="0">
                  <c:v>Plataforma pruebas</c:v>
                </c:pt>
              </c:strCache>
            </c:strRef>
          </c:tx>
          <c:spPr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'Analisis de Costos'!$BQ$13:$BQ$46</c:f>
              <c:numCache>
                <c:formatCode>[$-240A]dd/mm/yyyy</c:formatCode>
                <c:ptCount val="34"/>
                <c:pt idx="0">
                  <c:v>46228</c:v>
                </c:pt>
                <c:pt idx="1">
                  <c:v>46229</c:v>
                </c:pt>
                <c:pt idx="2">
                  <c:v>46230</c:v>
                </c:pt>
                <c:pt idx="3">
                  <c:v>46231</c:v>
                </c:pt>
                <c:pt idx="4">
                  <c:v>46232</c:v>
                </c:pt>
                <c:pt idx="5">
                  <c:v>46233</c:v>
                </c:pt>
                <c:pt idx="6">
                  <c:v>46234</c:v>
                </c:pt>
                <c:pt idx="7">
                  <c:v>46235</c:v>
                </c:pt>
                <c:pt idx="8">
                  <c:v>46236</c:v>
                </c:pt>
                <c:pt idx="9">
                  <c:v>46237</c:v>
                </c:pt>
                <c:pt idx="10">
                  <c:v>46238</c:v>
                </c:pt>
                <c:pt idx="11">
                  <c:v>46239</c:v>
                </c:pt>
                <c:pt idx="12">
                  <c:v>46240</c:v>
                </c:pt>
                <c:pt idx="13">
                  <c:v>46241</c:v>
                </c:pt>
                <c:pt idx="14">
                  <c:v>46242</c:v>
                </c:pt>
                <c:pt idx="15">
                  <c:v>46243</c:v>
                </c:pt>
                <c:pt idx="16">
                  <c:v>46244</c:v>
                </c:pt>
                <c:pt idx="17">
                  <c:v>46245</c:v>
                </c:pt>
                <c:pt idx="18">
                  <c:v>46246</c:v>
                </c:pt>
                <c:pt idx="19">
                  <c:v>46247</c:v>
                </c:pt>
                <c:pt idx="20">
                  <c:v>46248</c:v>
                </c:pt>
                <c:pt idx="21">
                  <c:v>46249</c:v>
                </c:pt>
                <c:pt idx="22">
                  <c:v>46250</c:v>
                </c:pt>
                <c:pt idx="23">
                  <c:v>46251</c:v>
                </c:pt>
                <c:pt idx="24">
                  <c:v>46252</c:v>
                </c:pt>
                <c:pt idx="25">
                  <c:v>46253</c:v>
                </c:pt>
                <c:pt idx="26">
                  <c:v>46254</c:v>
                </c:pt>
                <c:pt idx="27">
                  <c:v>46255</c:v>
                </c:pt>
                <c:pt idx="28">
                  <c:v>46256</c:v>
                </c:pt>
                <c:pt idx="29">
                  <c:v>46257</c:v>
                </c:pt>
                <c:pt idx="30">
                  <c:v>46258</c:v>
                </c:pt>
                <c:pt idx="31">
                  <c:v>46259</c:v>
                </c:pt>
                <c:pt idx="32">
                  <c:v>46260</c:v>
                </c:pt>
                <c:pt idx="33">
                  <c:v>46261</c:v>
                </c:pt>
              </c:numCache>
            </c:numRef>
          </c:cat>
          <c:val>
            <c:numRef>
              <c:f>'Analisis de Costos'!$BT$13:$BT$46</c:f>
              <c:numCache>
                <c:formatCode>General</c:formatCode>
                <c:ptCount val="34"/>
                <c:pt idx="0">
                  <c:v>1811592.3854230961</c:v>
                </c:pt>
                <c:pt idx="1">
                  <c:v>1060218.6403551714</c:v>
                </c:pt>
                <c:pt idx="2">
                  <c:v>946066.3229072711</c:v>
                </c:pt>
                <c:pt idx="3">
                  <c:v>1410146.3939084613</c:v>
                </c:pt>
                <c:pt idx="4">
                  <c:v>1472919.9903693695</c:v>
                </c:pt>
                <c:pt idx="5">
                  <c:v>999519.04637276498</c:v>
                </c:pt>
                <c:pt idx="6">
                  <c:v>761855.01835895213</c:v>
                </c:pt>
                <c:pt idx="7">
                  <c:v>630536.39129347529</c:v>
                </c:pt>
                <c:pt idx="8">
                  <c:v>591411.23697088519</c:v>
                </c:pt>
                <c:pt idx="9">
                  <c:v>818196.94750397152</c:v>
                </c:pt>
                <c:pt idx="10">
                  <c:v>2716651.6220143358</c:v>
                </c:pt>
                <c:pt idx="11">
                  <c:v>1583314.4509831336</c:v>
                </c:pt>
                <c:pt idx="12">
                  <c:v>1364265.4444197298</c:v>
                </c:pt>
                <c:pt idx="13">
                  <c:v>580734.89762779069</c:v>
                </c:pt>
                <c:pt idx="14">
                  <c:v>580521.15993066737</c:v>
                </c:pt>
                <c:pt idx="15">
                  <c:v>581378.04459194548</c:v>
                </c:pt>
                <c:pt idx="16">
                  <c:v>601106.32693688106</c:v>
                </c:pt>
                <c:pt idx="17">
                  <c:v>732676.5440466461</c:v>
                </c:pt>
                <c:pt idx="18">
                  <c:v>699487.94872050325</c:v>
                </c:pt>
                <c:pt idx="19">
                  <c:v>596259.30289094197</c:v>
                </c:pt>
                <c:pt idx="20">
                  <c:v>590963.84915645025</c:v>
                </c:pt>
                <c:pt idx="21">
                  <c:v>544973.73527395749</c:v>
                </c:pt>
                <c:pt idx="22">
                  <c:v>544792.7962906512</c:v>
                </c:pt>
                <c:pt idx="23">
                  <c:v>544420.86079564574</c:v>
                </c:pt>
                <c:pt idx="24">
                  <c:v>549365.35363640438</c:v>
                </c:pt>
                <c:pt idx="25">
                  <c:v>545937.73297352379</c:v>
                </c:pt>
                <c:pt idx="26">
                  <c:v>546044.93511547614</c:v>
                </c:pt>
                <c:pt idx="27">
                  <c:v>1119957.5847806523</c:v>
                </c:pt>
                <c:pt idx="28">
                  <c:v>532158.14990964835</c:v>
                </c:pt>
                <c:pt idx="29">
                  <c:v>518378.89477027697</c:v>
                </c:pt>
                <c:pt idx="30">
                  <c:v>528220.7007295409</c:v>
                </c:pt>
                <c:pt idx="31">
                  <c:v>1857981.4946080002</c:v>
                </c:pt>
                <c:pt idx="32">
                  <c:v>829220.38480249525</c:v>
                </c:pt>
                <c:pt idx="33">
                  <c:v>490418.66489749047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09-423E-9DEE-A83752B1F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970"/>
        <c:axId val="58366402"/>
      </c:lineChart>
      <c:dateAx>
        <c:axId val="48970"/>
        <c:scaling>
          <c:orientation val="minMax"/>
        </c:scaling>
        <c:delete val="0"/>
        <c:axPos val="b"/>
        <c:numFmt formatCode="[$-240A]dd/mm/yy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58366402"/>
        <c:crosses val="autoZero"/>
        <c:auto val="1"/>
        <c:lblOffset val="100"/>
        <c:baseTimeUnit val="days"/>
      </c:dateAx>
      <c:valAx>
        <c:axId val="583664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700" b="0" u="none" strike="noStrike">
                <a:uFillTx/>
                <a:latin typeface="Arial"/>
              </a:defRPr>
            </a:pPr>
            <a:endParaRPr lang="en-US"/>
          </a:p>
        </c:txPr>
        <c:crossAx val="4897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700" b="0" u="none" strike="noStrike">
              <a:uFillTx/>
              <a:latin typeface="Arial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facturado por Categoría (Rubro agrupado)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Analisis!$G$1</c:f>
              <c:strCache>
                <c:ptCount val="1"/>
                <c:pt idx="0">
                  <c:v>Procesamiento + Plataforma Producción y Soporte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Analisis!$F$2:$F$23</c:f>
              <c:strCache>
                <c:ptCount val="22"/>
                <c:pt idx="0">
                  <c:v>GenAI</c:v>
                </c:pt>
                <c:pt idx="1">
                  <c:v>Soporte AWS</c:v>
                </c:pt>
                <c:pt idx="2">
                  <c:v>Cómputo</c:v>
                </c:pt>
                <c:pt idx="3">
                  <c:v>Analítica y BI</c:v>
                </c:pt>
                <c:pt idx="4">
                  <c:v>Búsqueda y analítica</c:v>
                </c:pt>
                <c:pt idx="5">
                  <c:v>Base de datos</c:v>
                </c:pt>
                <c:pt idx="6">
                  <c:v>Operaciones y gestión</c:v>
                </c:pt>
                <c:pt idx="7">
                  <c:v>Observabilidad</c:v>
                </c:pt>
                <c:pt idx="8">
                  <c:v>Seguridad</c:v>
                </c:pt>
                <c:pt idx="9">
                  <c:v>Redes</c:v>
                </c:pt>
                <c:pt idx="10">
                  <c:v>Gobierno y cumplimiento</c:v>
                </c:pt>
                <c:pt idx="11">
                  <c:v>DevOps</c:v>
                </c:pt>
                <c:pt idx="12">
                  <c:v>Almacenamiento</c:v>
                </c:pt>
                <c:pt idx="13">
                  <c:v>Productividad de desarrollo</c:v>
                </c:pt>
                <c:pt idx="14">
                  <c:v>Integración y mensajería</c:v>
                </c:pt>
                <c:pt idx="15">
                  <c:v>Marketplace y software de terceros</c:v>
                </c:pt>
                <c:pt idx="16">
                  <c:v>FinOps</c:v>
                </c:pt>
                <c:pt idx="17">
                  <c:v>Integración y orquestación</c:v>
                </c:pt>
                <c:pt idx="18">
                  <c:v>ML</c:v>
                </c:pt>
                <c:pt idx="19">
                  <c:v>Gobierno de datos</c:v>
                </c:pt>
                <c:pt idx="20">
                  <c:v>Comunicaciones</c:v>
                </c:pt>
                <c:pt idx="21">
                  <c:v>Backup y resiliencia</c:v>
                </c:pt>
              </c:strCache>
            </c:strRef>
          </c:cat>
          <c:val>
            <c:numRef>
              <c:f>Analisis!$G$2:$G$23</c:f>
              <c:numCache>
                <c:formatCode>General</c:formatCode>
                <c:ptCount val="22"/>
                <c:pt idx="0">
                  <c:v>114653454.33532621</c:v>
                </c:pt>
                <c:pt idx="1">
                  <c:v>20895270.413999997</c:v>
                </c:pt>
                <c:pt idx="2">
                  <c:v>1775453.5423221299</c:v>
                </c:pt>
                <c:pt idx="3">
                  <c:v>3831409.7967914073</c:v>
                </c:pt>
                <c:pt idx="4">
                  <c:v>112264.81991886855</c:v>
                </c:pt>
                <c:pt idx="5">
                  <c:v>1953291.2635237528</c:v>
                </c:pt>
                <c:pt idx="6">
                  <c:v>733633.47167512798</c:v>
                </c:pt>
                <c:pt idx="7">
                  <c:v>1108596.9216231646</c:v>
                </c:pt>
                <c:pt idx="8">
                  <c:v>584561.31185640022</c:v>
                </c:pt>
                <c:pt idx="9">
                  <c:v>962289.82682310662</c:v>
                </c:pt>
                <c:pt idx="10">
                  <c:v>689355.86567999993</c:v>
                </c:pt>
                <c:pt idx="11">
                  <c:v>91119.519524942676</c:v>
                </c:pt>
                <c:pt idx="12">
                  <c:v>100635.71110702009</c:v>
                </c:pt>
                <c:pt idx="13">
                  <c:v>132056.07016823199</c:v>
                </c:pt>
                <c:pt idx="14">
                  <c:v>1347.2729691680001</c:v>
                </c:pt>
                <c:pt idx="15">
                  <c:v>0</c:v>
                </c:pt>
                <c:pt idx="16">
                  <c:v>29123.935215241156</c:v>
                </c:pt>
                <c:pt idx="17">
                  <c:v>22267.221561424001</c:v>
                </c:pt>
                <c:pt idx="18">
                  <c:v>0</c:v>
                </c:pt>
                <c:pt idx="19">
                  <c:v>0</c:v>
                </c:pt>
                <c:pt idx="20">
                  <c:v>170.50623008578802</c:v>
                </c:pt>
                <c:pt idx="21">
                  <c:v>0.14709021768799999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8-49C5-9E6D-E2876204A4DC}"/>
            </c:ext>
          </c:extLst>
        </c:ser>
        <c:ser>
          <c:idx val="1"/>
          <c:order val="1"/>
          <c:tx>
            <c:strRef>
              <c:f>Analisis!$H$1</c:f>
              <c:strCache>
                <c:ptCount val="1"/>
                <c:pt idx="0">
                  <c:v>Otros rubros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strRef>
                  <c:f>Analisis!$I$2</c:f>
                  <c:strCache>
                    <c:ptCount val="1"/>
                    <c:pt idx="0">
                      <c:v>124671217.2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{05936FC5-847F-4DA1-AF76-D77F2535DCEF}</c15:txfldGUID>
                      <c15:f>Analisis!$I$2</c15:f>
                      <c15:dlblFieldTableCache>
                        <c:ptCount val="1"/>
                        <c:pt idx="0">
                          <c:v>124671217.2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648-49C5-9E6D-E2876204A4DC}"/>
                </c:ext>
              </c:extLst>
            </c:dLbl>
            <c:dLbl>
              <c:idx val="1"/>
              <c:tx>
                <c:strRef>
                  <c:f>Analisis!$I$3</c:f>
                  <c:strCache>
                    <c:ptCount val="1"/>
                    <c:pt idx="0">
                      <c:v>20895270.41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{572A8BE6-EA59-4B20-875E-4AD6125F61D8}</c15:txfldGUID>
                      <c15:f>Analisis!$I$3</c15:f>
                      <c15:dlblFieldTableCache>
                        <c:ptCount val="1"/>
                        <c:pt idx="0">
                          <c:v>20895270.41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648-49C5-9E6D-E2876204A4DC}"/>
                </c:ext>
              </c:extLst>
            </c:dLbl>
            <c:dLbl>
              <c:idx val="2"/>
              <c:tx>
                <c:strRef>
                  <c:f>Analisis!$I$4</c:f>
                  <c:strCache>
                    <c:ptCount val="1"/>
                    <c:pt idx="0">
                      <c:v>9391684.544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{566F3875-2DDE-4AC7-9185-487A7D14C6A8}</c15:txfldGUID>
                      <c15:f>Analisis!$I$4</c15:f>
                      <c15:dlblFieldTableCache>
                        <c:ptCount val="1"/>
                        <c:pt idx="0">
                          <c:v>9391684.544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648-49C5-9E6D-E2876204A4DC}"/>
                </c:ext>
              </c:extLst>
            </c:dLbl>
            <c:dLbl>
              <c:idx val="3"/>
              <c:tx>
                <c:strRef>
                  <c:f>Analisis!$I$5</c:f>
                  <c:strCache>
                    <c:ptCount val="1"/>
                    <c:pt idx="0">
                      <c:v>8397938.429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{FB041CE3-8F36-44FD-864C-E3AC2FD0996B}</c15:txfldGUID>
                      <c15:f>Analisis!$I$5</c15:f>
                      <c15:dlblFieldTableCache>
                        <c:ptCount val="1"/>
                        <c:pt idx="0">
                          <c:v>8397938.429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648-49C5-9E6D-E2876204A4DC}"/>
                </c:ext>
              </c:extLst>
            </c:dLbl>
            <c:dLbl>
              <c:idx val="4"/>
              <c:tx>
                <c:strRef>
                  <c:f>Analisis!$I$6</c:f>
                  <c:strCache>
                    <c:ptCount val="1"/>
                    <c:pt idx="0">
                      <c:v>3371362.196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{A4B982B3-8738-4AEB-A652-F1BCE68EEA42}</c15:txfldGUID>
                      <c15:f>Analisis!$I$6</c15:f>
                      <c15:dlblFieldTableCache>
                        <c:ptCount val="1"/>
                        <c:pt idx="0">
                          <c:v>3371362.196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648-49C5-9E6D-E2876204A4DC}"/>
                </c:ext>
              </c:extLst>
            </c:dLbl>
            <c:dLbl>
              <c:idx val="5"/>
              <c:tx>
                <c:strRef>
                  <c:f>Analisis!$I$7</c:f>
                  <c:strCache>
                    <c:ptCount val="1"/>
                    <c:pt idx="0">
                      <c:v>2873413.699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{68152CD0-FC35-43D9-B42F-0C7BBA8217B8}</c15:txfldGUID>
                      <c15:f>Analisis!$I$7</c15:f>
                      <c15:dlblFieldTableCache>
                        <c:ptCount val="1"/>
                        <c:pt idx="0">
                          <c:v>2873413.699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648-49C5-9E6D-E2876204A4DC}"/>
                </c:ext>
              </c:extLst>
            </c:dLbl>
            <c:dLbl>
              <c:idx val="6"/>
              <c:tx>
                <c:strRef>
                  <c:f>Analisis!$I$8</c:f>
                  <c:strCache>
                    <c:ptCount val="1"/>
                    <c:pt idx="0">
                      <c:v>1725418.307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{00AB008A-C67E-4CA3-AA0E-835ED04237B0}</c15:txfldGUID>
                      <c15:f>Analisis!$I$8</c15:f>
                      <c15:dlblFieldTableCache>
                        <c:ptCount val="1"/>
                        <c:pt idx="0">
                          <c:v>1725418.307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648-49C5-9E6D-E2876204A4DC}"/>
                </c:ext>
              </c:extLst>
            </c:dLbl>
            <c:dLbl>
              <c:idx val="7"/>
              <c:tx>
                <c:strRef>
                  <c:f>Analisis!$I$9</c:f>
                  <c:strCache>
                    <c:ptCount val="1"/>
                    <c:pt idx="0">
                      <c:v>1644558.534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{2AAEF55C-A534-48F3-B7E1-7BB884D4CBBD}</c15:txfldGUID>
                      <c15:f>Analisis!$I$9</c15:f>
                      <c15:dlblFieldTableCache>
                        <c:ptCount val="1"/>
                        <c:pt idx="0">
                          <c:v>1644558.534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648-49C5-9E6D-E2876204A4DC}"/>
                </c:ext>
              </c:extLst>
            </c:dLbl>
            <c:dLbl>
              <c:idx val="8"/>
              <c:tx>
                <c:strRef>
                  <c:f>Analisis!$I$10</c:f>
                  <c:strCache>
                    <c:ptCount val="1"/>
                    <c:pt idx="0">
                      <c:v>1559771.22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{C97A4557-8367-4507-B47E-6A91E3E18980}</c15:txfldGUID>
                      <c15:f>Analisis!$I$10</c15:f>
                      <c15:dlblFieldTableCache>
                        <c:ptCount val="1"/>
                        <c:pt idx="0">
                          <c:v>1559771.22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648-49C5-9E6D-E2876204A4DC}"/>
                </c:ext>
              </c:extLst>
            </c:dLbl>
            <c:dLbl>
              <c:idx val="9"/>
              <c:tx>
                <c:strRef>
                  <c:f>Analisis!$I$11</c:f>
                  <c:strCache>
                    <c:ptCount val="1"/>
                    <c:pt idx="0">
                      <c:v>1404208.836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{64DA8841-2FEE-42E1-906B-0AC7ED3D300D}</c15:txfldGUID>
                      <c15:f>Analisis!$I$11</c15:f>
                      <c15:dlblFieldTableCache>
                        <c:ptCount val="1"/>
                        <c:pt idx="0">
                          <c:v>1404208.836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648-49C5-9E6D-E2876204A4DC}"/>
                </c:ext>
              </c:extLst>
            </c:dLbl>
            <c:dLbl>
              <c:idx val="10"/>
              <c:tx>
                <c:strRef>
                  <c:f>Analisis!$I$12</c:f>
                  <c:strCache>
                    <c:ptCount val="1"/>
                    <c:pt idx="0">
                      <c:v>1029176.091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{A93252B9-EE16-43A5-94F3-5CD0025AF182}</c15:txfldGUID>
                      <c15:f>Analisis!$I$12</c15:f>
                      <c15:dlblFieldTableCache>
                        <c:ptCount val="1"/>
                        <c:pt idx="0">
                          <c:v>1029176.091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648-49C5-9E6D-E2876204A4DC}"/>
                </c:ext>
              </c:extLst>
            </c:dLbl>
            <c:dLbl>
              <c:idx val="11"/>
              <c:tx>
                <c:strRef>
                  <c:f>Analisis!$I$13</c:f>
                  <c:strCache>
                    <c:ptCount val="1"/>
                    <c:pt idx="0">
                      <c:v>428349.8964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{5D2AADE2-84F0-4049-ACD7-CC800044575E}</c15:txfldGUID>
                      <c15:f>Analisis!$I$13</c15:f>
                      <c15:dlblFieldTableCache>
                        <c:ptCount val="1"/>
                        <c:pt idx="0">
                          <c:v>428349.8964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648-49C5-9E6D-E2876204A4DC}"/>
                </c:ext>
              </c:extLst>
            </c:dLbl>
            <c:dLbl>
              <c:idx val="12"/>
              <c:tx>
                <c:strRef>
                  <c:f>Analisis!$I$14</c:f>
                  <c:strCache>
                    <c:ptCount val="1"/>
                    <c:pt idx="0">
                      <c:v>186615.9135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{3A98EF7C-A2C9-485C-A5ED-D11C2E768ED7}</c15:txfldGUID>
                      <c15:f>Analisis!$I$14</c15:f>
                      <c15:dlblFieldTableCache>
                        <c:ptCount val="1"/>
                        <c:pt idx="0">
                          <c:v>186615.9135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648-49C5-9E6D-E2876204A4DC}"/>
                </c:ext>
              </c:extLst>
            </c:dLbl>
            <c:dLbl>
              <c:idx val="13"/>
              <c:tx>
                <c:strRef>
                  <c:f>Analisis!$I$15</c:f>
                  <c:strCache>
                    <c:ptCount val="1"/>
                    <c:pt idx="0">
                      <c:v>132056.0702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{E939B9C1-FC0C-4593-A02F-E07A9298A7D3}</c15:txfldGUID>
                      <c15:f>Analisis!$I$15</c15:f>
                      <c15:dlblFieldTableCache>
                        <c:ptCount val="1"/>
                        <c:pt idx="0">
                          <c:v>132056.0702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648-49C5-9E6D-E2876204A4DC}"/>
                </c:ext>
              </c:extLst>
            </c:dLbl>
            <c:dLbl>
              <c:idx val="14"/>
              <c:tx>
                <c:strRef>
                  <c:f>Analisis!$I$16</c:f>
                  <c:strCache>
                    <c:ptCount val="1"/>
                    <c:pt idx="0">
                      <c:v>122977.6389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{FCFED707-EC62-458A-B8C8-59D07986907B}</c15:txfldGUID>
                      <c15:f>Analisis!$I$16</c15:f>
                      <c15:dlblFieldTableCache>
                        <c:ptCount val="1"/>
                        <c:pt idx="0">
                          <c:v>122977.6389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648-49C5-9E6D-E2876204A4DC}"/>
                </c:ext>
              </c:extLst>
            </c:dLbl>
            <c:dLbl>
              <c:idx val="15"/>
              <c:tx>
                <c:strRef>
                  <c:f>Analisis!$I$17</c:f>
                  <c:strCache>
                    <c:ptCount val="1"/>
                    <c:pt idx="0">
                      <c:v>59652.2112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{6884A66A-1EC3-400E-B0EF-847A94E7C551}</c15:txfldGUID>
                      <c15:f>Analisis!$I$17</c15:f>
                      <c15:dlblFieldTableCache>
                        <c:ptCount val="1"/>
                        <c:pt idx="0">
                          <c:v>59652.2112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648-49C5-9E6D-E2876204A4DC}"/>
                </c:ext>
              </c:extLst>
            </c:dLbl>
            <c:dLbl>
              <c:idx val="16"/>
              <c:tx>
                <c:strRef>
                  <c:f>Analisis!$I$18</c:f>
                  <c:strCache>
                    <c:ptCount val="1"/>
                    <c:pt idx="0">
                      <c:v>31682.54722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{78BCEE50-7A82-4B92-85AA-D922FCF13981}</c15:txfldGUID>
                      <c15:f>Analisis!$I$18</c15:f>
                      <c15:dlblFieldTableCache>
                        <c:ptCount val="1"/>
                        <c:pt idx="0">
                          <c:v>31682.54722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D648-49C5-9E6D-E2876204A4DC}"/>
                </c:ext>
              </c:extLst>
            </c:dLbl>
            <c:dLbl>
              <c:idx val="17"/>
              <c:tx>
                <c:strRef>
                  <c:f>Analisis!$I$19</c:f>
                  <c:strCache>
                    <c:ptCount val="1"/>
                    <c:pt idx="0">
                      <c:v>23076.29854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{7A897E8D-619E-46D9-AC0D-EC75DC80FA92}</c15:txfldGUID>
                      <c15:f>Analisis!$I$19</c15:f>
                      <c15:dlblFieldTableCache>
                        <c:ptCount val="1"/>
                        <c:pt idx="0">
                          <c:v>23076.29854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648-49C5-9E6D-E2876204A4DC}"/>
                </c:ext>
              </c:extLst>
            </c:dLbl>
            <c:dLbl>
              <c:idx val="18"/>
              <c:tx>
                <c:strRef>
                  <c:f>Analisis!$I$20</c:f>
                  <c:strCache>
                    <c:ptCount val="1"/>
                    <c:pt idx="0">
                      <c:v>7183.922058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{FF1C84FC-7B87-4CDE-8886-F5C183F11432}</c15:txfldGUID>
                      <c15:f>Analisis!$I$20</c15:f>
                      <c15:dlblFieldTableCache>
                        <c:ptCount val="1"/>
                        <c:pt idx="0">
                          <c:v>7183.922058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648-49C5-9E6D-E2876204A4DC}"/>
                </c:ext>
              </c:extLst>
            </c:dLbl>
            <c:dLbl>
              <c:idx val="19"/>
              <c:tx>
                <c:strRef>
                  <c:f>Analisis!$I$21</c:f>
                  <c:strCache>
                    <c:ptCount val="1"/>
                    <c:pt idx="0">
                      <c:v>1814.694141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{7E6EADC0-0635-4894-82FC-5057B1CE756B}</c15:txfldGUID>
                      <c15:f>Analisis!$I$21</c15:f>
                      <c15:dlblFieldTableCache>
                        <c:ptCount val="1"/>
                        <c:pt idx="0">
                          <c:v>1814.694141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648-49C5-9E6D-E2876204A4DC}"/>
                </c:ext>
              </c:extLst>
            </c:dLbl>
            <c:dLbl>
              <c:idx val="20"/>
              <c:tx>
                <c:strRef>
                  <c:f>Analisis!$I$22</c:f>
                  <c:strCache>
                    <c:ptCount val="1"/>
                    <c:pt idx="0">
                      <c:v>452.9564218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{AB7E921E-4771-4AFB-9DFC-9BE1AAD19EB7}</c15:txfldGUID>
                      <c15:f>Analisis!$I$22</c15:f>
                      <c15:dlblFieldTableCache>
                        <c:ptCount val="1"/>
                        <c:pt idx="0">
                          <c:v>452.9564218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648-49C5-9E6D-E2876204A4DC}"/>
                </c:ext>
              </c:extLst>
            </c:dLbl>
            <c:dLbl>
              <c:idx val="21"/>
              <c:tx>
                <c:strRef>
                  <c:f>Analisis!$I$23</c:f>
                  <c:strCache>
                    <c:ptCount val="1"/>
                    <c:pt idx="0">
                      <c:v>113.6249167</c:v>
                    </c:pt>
                  </c:strCache>
                </c:strRef>
              </c:tx>
              <c:numFmt formatCode="&quot;$&quot;#,##0;\(&quot;$&quot;#,##0\);\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{22DC53AC-A5C7-4FA7-B6BB-5DC4B30A8D55}</c15:txfldGUID>
                      <c15:f>Analisis!$I$23</c15:f>
                      <c15:dlblFieldTableCache>
                        <c:ptCount val="1"/>
                        <c:pt idx="0">
                          <c:v>113.6249167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648-49C5-9E6D-E2876204A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Analisis!$F$2:$F$23</c:f>
              <c:strCache>
                <c:ptCount val="22"/>
                <c:pt idx="0">
                  <c:v>GenAI</c:v>
                </c:pt>
                <c:pt idx="1">
                  <c:v>Soporte AWS</c:v>
                </c:pt>
                <c:pt idx="2">
                  <c:v>Cómputo</c:v>
                </c:pt>
                <c:pt idx="3">
                  <c:v>Analítica y BI</c:v>
                </c:pt>
                <c:pt idx="4">
                  <c:v>Búsqueda y analítica</c:v>
                </c:pt>
                <c:pt idx="5">
                  <c:v>Base de datos</c:v>
                </c:pt>
                <c:pt idx="6">
                  <c:v>Operaciones y gestión</c:v>
                </c:pt>
                <c:pt idx="7">
                  <c:v>Observabilidad</c:v>
                </c:pt>
                <c:pt idx="8">
                  <c:v>Seguridad</c:v>
                </c:pt>
                <c:pt idx="9">
                  <c:v>Redes</c:v>
                </c:pt>
                <c:pt idx="10">
                  <c:v>Gobierno y cumplimiento</c:v>
                </c:pt>
                <c:pt idx="11">
                  <c:v>DevOps</c:v>
                </c:pt>
                <c:pt idx="12">
                  <c:v>Almacenamiento</c:v>
                </c:pt>
                <c:pt idx="13">
                  <c:v>Productividad de desarrollo</c:v>
                </c:pt>
                <c:pt idx="14">
                  <c:v>Integración y mensajería</c:v>
                </c:pt>
                <c:pt idx="15">
                  <c:v>Marketplace y software de terceros</c:v>
                </c:pt>
                <c:pt idx="16">
                  <c:v>FinOps</c:v>
                </c:pt>
                <c:pt idx="17">
                  <c:v>Integración y orquestación</c:v>
                </c:pt>
                <c:pt idx="18">
                  <c:v>ML</c:v>
                </c:pt>
                <c:pt idx="19">
                  <c:v>Gobierno de datos</c:v>
                </c:pt>
                <c:pt idx="20">
                  <c:v>Comunicaciones</c:v>
                </c:pt>
                <c:pt idx="21">
                  <c:v>Backup y resiliencia</c:v>
                </c:pt>
              </c:strCache>
            </c:strRef>
          </c:cat>
          <c:val>
            <c:numRef>
              <c:f>Analisis!$H$2:$H$23</c:f>
              <c:numCache>
                <c:formatCode>General</c:formatCode>
                <c:ptCount val="22"/>
                <c:pt idx="0">
                  <c:v>10017762.828130513</c:v>
                </c:pt>
                <c:pt idx="1">
                  <c:v>0</c:v>
                </c:pt>
                <c:pt idx="2">
                  <c:v>7616231.0021149972</c:v>
                </c:pt>
                <c:pt idx="3">
                  <c:v>4566528.6320646396</c:v>
                </c:pt>
                <c:pt idx="4">
                  <c:v>3259097.375595618</c:v>
                </c:pt>
                <c:pt idx="5">
                  <c:v>920122.4356827219</c:v>
                </c:pt>
                <c:pt idx="6">
                  <c:v>991784.83556615212</c:v>
                </c:pt>
                <c:pt idx="7">
                  <c:v>535961.61228000536</c:v>
                </c:pt>
                <c:pt idx="8">
                  <c:v>975209.9084863686</c:v>
                </c:pt>
                <c:pt idx="9">
                  <c:v>441919.00869766891</c:v>
                </c:pt>
                <c:pt idx="10">
                  <c:v>339820.22519999999</c:v>
                </c:pt>
                <c:pt idx="11">
                  <c:v>337230.37683534814</c:v>
                </c:pt>
                <c:pt idx="12">
                  <c:v>85980.202397511341</c:v>
                </c:pt>
                <c:pt idx="13">
                  <c:v>0</c:v>
                </c:pt>
                <c:pt idx="14">
                  <c:v>121630.36592123186</c:v>
                </c:pt>
                <c:pt idx="15">
                  <c:v>59652.211199999998</c:v>
                </c:pt>
                <c:pt idx="16">
                  <c:v>2558.612000000001</c:v>
                </c:pt>
                <c:pt idx="17">
                  <c:v>809.07697632000418</c:v>
                </c:pt>
                <c:pt idx="18">
                  <c:v>7183.9220582981761</c:v>
                </c:pt>
                <c:pt idx="19">
                  <c:v>1814.694140604824</c:v>
                </c:pt>
                <c:pt idx="20">
                  <c:v>282.45019173193998</c:v>
                </c:pt>
                <c:pt idx="21">
                  <c:v>113.477826512644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48-49C5-9E6D-E2876204A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9032200"/>
        <c:axId val="1609034760"/>
      </c:barChart>
      <c:catAx>
        <c:axId val="1609032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034760"/>
        <c:crosses val="autoZero"/>
        <c:auto val="1"/>
        <c:lblAlgn val="ctr"/>
        <c:lblOffset val="100"/>
        <c:noMultiLvlLbl val="0"/>
      </c:catAx>
      <c:valAx>
        <c:axId val="1609034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facturable (COP)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03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216000</xdr:colOff>
      <xdr:row>13</xdr:row>
      <xdr:rowOff>77400</xdr:rowOff>
    </xdr:from>
    <xdr:to>
      <xdr:col>7</xdr:col>
      <xdr:colOff>4245</xdr:colOff>
      <xdr:row>30</xdr:row>
      <xdr:rowOff>49680</xdr:rowOff>
    </xdr:to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91080</xdr:colOff>
      <xdr:row>13</xdr:row>
      <xdr:rowOff>77400</xdr:rowOff>
    </xdr:from>
    <xdr:to>
      <xdr:col>13</xdr:col>
      <xdr:colOff>631800</xdr:colOff>
      <xdr:row>30</xdr:row>
      <xdr:rowOff>49680</xdr:rowOff>
    </xdr:to>
    <xdr:graphicFrame macro="">
      <xdr:nvGraphicFramePr>
        <xdr:cNvPr id="3" name="shape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216000</xdr:colOff>
      <xdr:row>31</xdr:row>
      <xdr:rowOff>18720</xdr:rowOff>
    </xdr:from>
    <xdr:to>
      <xdr:col>14</xdr:col>
      <xdr:colOff>2175</xdr:colOff>
      <xdr:row>49</xdr:row>
      <xdr:rowOff>103680</xdr:rowOff>
    </xdr:to>
    <xdr:graphicFrame macro="">
      <xdr:nvGraphicFramePr>
        <xdr:cNvPr id="4" name="shape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216000</xdr:colOff>
      <xdr:row>50</xdr:row>
      <xdr:rowOff>72720</xdr:rowOff>
    </xdr:from>
    <xdr:to>
      <xdr:col>14</xdr:col>
      <xdr:colOff>2175</xdr:colOff>
      <xdr:row>72</xdr:row>
      <xdr:rowOff>203040</xdr:rowOff>
    </xdr:to>
    <xdr:graphicFrame macro="">
      <xdr:nvGraphicFramePr>
        <xdr:cNvPr id="5" name="shape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216000</xdr:colOff>
      <xdr:row>73</xdr:row>
      <xdr:rowOff>59400</xdr:rowOff>
    </xdr:from>
    <xdr:to>
      <xdr:col>14</xdr:col>
      <xdr:colOff>2175</xdr:colOff>
      <xdr:row>98</xdr:row>
      <xdr:rowOff>127080</xdr:rowOff>
    </xdr:to>
    <xdr:graphicFrame macro="">
      <xdr:nvGraphicFramePr>
        <xdr:cNvPr id="6" name="shape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216000</xdr:colOff>
      <xdr:row>99</xdr:row>
      <xdr:rowOff>132120</xdr:rowOff>
    </xdr:from>
    <xdr:to>
      <xdr:col>14</xdr:col>
      <xdr:colOff>2175</xdr:colOff>
      <xdr:row>122</xdr:row>
      <xdr:rowOff>60840</xdr:rowOff>
    </xdr:to>
    <xdr:graphicFrame macro="">
      <xdr:nvGraphicFramePr>
        <xdr:cNvPr id="7" name="shape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216000</xdr:colOff>
      <xdr:row>123</xdr:row>
      <xdr:rowOff>65880</xdr:rowOff>
    </xdr:from>
    <xdr:to>
      <xdr:col>14</xdr:col>
      <xdr:colOff>2175</xdr:colOff>
      <xdr:row>150</xdr:row>
      <xdr:rowOff>145080</xdr:rowOff>
    </xdr:to>
    <xdr:graphicFrame macro="">
      <xdr:nvGraphicFramePr>
        <xdr:cNvPr id="8" name="shape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216000</xdr:colOff>
      <xdr:row>151</xdr:row>
      <xdr:rowOff>150120</xdr:rowOff>
    </xdr:from>
    <xdr:to>
      <xdr:col>14</xdr:col>
      <xdr:colOff>2175</xdr:colOff>
      <xdr:row>180</xdr:row>
      <xdr:rowOff>107280</xdr:rowOff>
    </xdr:to>
    <xdr:graphicFrame macro="">
      <xdr:nvGraphicFramePr>
        <xdr:cNvPr id="9" name="shape">
          <a:extLst>
            <a:ext uri="{FF2B5EF4-FFF2-40B4-BE49-F238E27FC236}">
              <a16:creationId xmlns:a16="http://schemas.microsoft.com/office/drawing/2014/main" id="{00000000-0008-0000-0100-000009000000}"/>
            </a:ext>
            <a:ext uri="{147F2762-F138-4A5C-976F-8EAC2B608ADB}">
              <a16:predDERef xmlns:a16="http://schemas.microsoft.com/office/drawing/2014/main" pre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216000</xdr:colOff>
      <xdr:row>181</xdr:row>
      <xdr:rowOff>112320</xdr:rowOff>
    </xdr:from>
    <xdr:to>
      <xdr:col>14</xdr:col>
      <xdr:colOff>2175</xdr:colOff>
      <xdr:row>203</xdr:row>
      <xdr:rowOff>36360</xdr:rowOff>
    </xdr:to>
    <xdr:graphicFrame macro="">
      <xdr:nvGraphicFramePr>
        <xdr:cNvPr id="10" name="shape">
          <a:extLst>
            <a:ext uri="{FF2B5EF4-FFF2-40B4-BE49-F238E27FC236}">
              <a16:creationId xmlns:a16="http://schemas.microsoft.com/office/drawing/2014/main" id="{00000000-0008-0000-0100-00000A000000}"/>
            </a:ext>
            <a:ext uri="{147F2762-F138-4A5C-976F-8EAC2B608ADB}">
              <a16:predDERef xmlns:a16="http://schemas.microsoft.com/office/drawing/2014/main" pre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161925</xdr:rowOff>
    </xdr:from>
    <xdr:to>
      <xdr:col>20</xdr:col>
      <xdr:colOff>66675</xdr:colOff>
      <xdr:row>29</xdr:row>
      <xdr:rowOff>161925</xdr:rowOff>
    </xdr:to>
    <xdr:graphicFrame macro="">
      <xdr:nvGraphicFramePr>
        <xdr:cNvPr id="3" name="CostoPorCategoria_Apilado">
          <a:extLst>
            <a:ext uri="{FF2B5EF4-FFF2-40B4-BE49-F238E27FC236}">
              <a16:creationId xmlns:a16="http://schemas.microsoft.com/office/drawing/2014/main" id="{F448D922-4DCE-569B-E8A5-37B9B3A03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DE6081-90CC-45FC-9BBD-F884F306BD9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9410158-2ca8-470f-92d1-4c607f21946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8C95"/>
  </sheetPr>
  <dimension ref="B2:M38"/>
  <sheetViews>
    <sheetView showGridLines="0" zoomScaleNormal="100" workbookViewId="0">
      <selection activeCell="C19" sqref="C19"/>
    </sheetView>
  </sheetViews>
  <sheetFormatPr defaultColWidth="8.5703125" defaultRowHeight="14.45"/>
  <cols>
    <col min="1" max="1" width="2.7109375" customWidth="1"/>
    <col min="2" max="2" width="35.7109375" customWidth="1"/>
    <col min="3" max="3" width="22.7109375" customWidth="1"/>
    <col min="4" max="4" width="20.28515625" bestFit="1" customWidth="1"/>
    <col min="5" max="5" width="16.7109375" customWidth="1"/>
    <col min="6" max="6" width="20.28515625" bestFit="1" customWidth="1"/>
    <col min="7" max="13" width="16.7109375" customWidth="1"/>
  </cols>
  <sheetData>
    <row r="2" spans="2:13" ht="30.95"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2:13" ht="15" customHeight="1">
      <c r="B3" s="65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5" spans="2:13">
      <c r="B5" s="66" t="s">
        <v>2</v>
      </c>
      <c r="C5" s="66"/>
      <c r="D5" s="66"/>
      <c r="E5" s="66" t="s">
        <v>3</v>
      </c>
      <c r="F5" s="66"/>
      <c r="G5" s="66"/>
      <c r="H5" s="66" t="s">
        <v>4</v>
      </c>
      <c r="I5" s="66"/>
      <c r="J5" s="66"/>
      <c r="K5" s="66" t="s">
        <v>5</v>
      </c>
      <c r="L5" s="66"/>
      <c r="M5" s="66"/>
    </row>
    <row r="6" spans="2:13">
      <c r="B6" s="67">
        <f>SUMIF(Detalle_facturado!$Q$2:$Q$60305,"Procesamiento",Detalle_facturado!$T$2:$T$60305)</f>
        <v>65254104.035037942</v>
      </c>
      <c r="C6" s="67"/>
      <c r="D6" s="67"/>
      <c r="E6" s="67">
        <f>SUMIF(Detalle_facturado!$Q$2:$Q$60305,"Plataforma*",Detalle_facturado!$T$2:$T$60305)</f>
        <v>63110772.105097771</v>
      </c>
      <c r="F6" s="67"/>
      <c r="G6" s="67"/>
      <c r="H6" s="67">
        <f>SUM(Detalle_facturado!$V$2:$V$60305)</f>
        <v>49593119.066628851</v>
      </c>
      <c r="I6" s="67"/>
      <c r="J6" s="67"/>
      <c r="K6" s="67">
        <f>SUM(Detalle_facturado!$W$2:$W$60305)</f>
        <v>177957995.20675144</v>
      </c>
      <c r="L6" s="67"/>
      <c r="M6" s="67"/>
    </row>
    <row r="7" spans="2:13"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</row>
    <row r="9" spans="2:13">
      <c r="B9" s="66" t="s">
        <v>6</v>
      </c>
      <c r="C9" s="66"/>
      <c r="D9" s="66"/>
      <c r="E9" s="66"/>
      <c r="F9" s="66"/>
      <c r="G9" s="66"/>
      <c r="H9" s="66" t="s">
        <v>7</v>
      </c>
      <c r="I9" s="66"/>
      <c r="J9" s="66"/>
      <c r="K9" s="66"/>
      <c r="L9" s="66"/>
      <c r="M9" s="66"/>
    </row>
    <row r="10" spans="2:13">
      <c r="B10" s="67">
        <f>SUMIF(Detalle_facturado!$Q$2:$Q$60305,"Plataforma - Ambiente de Pruebas",Detalle_facturado!$T$2:$T$60305)</f>
        <v>30281693.253366403</v>
      </c>
      <c r="C10" s="67"/>
      <c r="D10" s="67"/>
      <c r="E10" s="67"/>
      <c r="F10" s="67"/>
      <c r="G10" s="67"/>
      <c r="H10" s="67">
        <f>SUMIF(Detalle_facturado!$Q$2:$Q$60305,"Plataforma - Producción y Soporte",Detalle_facturado!$T$2:$T$60305)</f>
        <v>32829078.851735782</v>
      </c>
      <c r="I10" s="67"/>
      <c r="J10" s="67"/>
      <c r="K10" s="67"/>
      <c r="L10" s="67"/>
      <c r="M10" s="67"/>
    </row>
    <row r="11" spans="2:13"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</row>
    <row r="13" spans="2:13" ht="17.100000000000001">
      <c r="B13" s="69" t="s">
        <v>8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</row>
    <row r="14" spans="2:13" ht="15" customHeight="1">
      <c r="B14" s="68" t="s">
        <v>9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</row>
    <row r="15" spans="2:13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</row>
    <row r="16" spans="2:13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</row>
    <row r="17" spans="2:13"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</row>
    <row r="18" spans="2:13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</row>
    <row r="20" spans="2:13" ht="17.100000000000001">
      <c r="B20" s="69" t="s">
        <v>10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</row>
    <row r="21" spans="2:13" ht="15" customHeight="1">
      <c r="B21" s="68" t="s">
        <v>11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</row>
    <row r="22" spans="2:13"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</row>
    <row r="23" spans="2:13"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</row>
    <row r="25" spans="2:13" ht="17.100000000000001">
      <c r="B25" s="69" t="s">
        <v>12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</row>
    <row r="27" spans="2:13">
      <c r="B27" s="1" t="s">
        <v>13</v>
      </c>
      <c r="C27" s="2">
        <v>3655.16</v>
      </c>
      <c r="E27" s="1" t="s">
        <v>14</v>
      </c>
      <c r="F27" s="3">
        <f>SUM(Detalle_facturado!$R$2:$R$60305)</f>
        <v>35118.811800358679</v>
      </c>
      <c r="G27" s="4" t="s">
        <v>15</v>
      </c>
    </row>
    <row r="28" spans="2:13">
      <c r="B28" s="1" t="s">
        <v>16</v>
      </c>
      <c r="C28" s="5">
        <v>0.76</v>
      </c>
      <c r="E28" s="1" t="s">
        <v>17</v>
      </c>
      <c r="F28" s="6">
        <f>F27*$C$27</f>
        <v>128364876.14019902</v>
      </c>
      <c r="G28" s="4" t="s">
        <v>18</v>
      </c>
    </row>
    <row r="31" spans="2:13" ht="17.100000000000001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</row>
    <row r="32" spans="2:13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2:13">
      <c r="B33" s="17"/>
      <c r="C33" s="17"/>
      <c r="D33" s="17"/>
      <c r="E33" s="17"/>
      <c r="F33" s="16"/>
      <c r="G33" s="16"/>
      <c r="H33" s="16"/>
      <c r="I33" s="16"/>
      <c r="J33" s="16"/>
      <c r="K33" s="16"/>
      <c r="L33" s="16"/>
      <c r="M33" s="16"/>
    </row>
    <row r="34" spans="2:13">
      <c r="B34" s="18"/>
      <c r="C34" s="19"/>
      <c r="D34" s="19"/>
      <c r="E34" s="20"/>
      <c r="F34" s="16"/>
      <c r="G34" s="16"/>
      <c r="H34" s="16"/>
      <c r="I34" s="16"/>
      <c r="J34" s="16"/>
      <c r="K34" s="16"/>
      <c r="L34" s="16"/>
      <c r="M34" s="16"/>
    </row>
    <row r="35" spans="2:13">
      <c r="B35" s="18"/>
      <c r="C35" s="19"/>
      <c r="D35" s="19"/>
      <c r="E35" s="20"/>
      <c r="F35" s="16"/>
      <c r="G35" s="16"/>
      <c r="H35" s="16"/>
      <c r="I35" s="16"/>
      <c r="J35" s="16"/>
      <c r="K35" s="16"/>
      <c r="L35" s="16"/>
      <c r="M35" s="16"/>
    </row>
    <row r="36" spans="2:13">
      <c r="B36" s="18"/>
      <c r="C36" s="19"/>
      <c r="D36" s="19"/>
      <c r="E36" s="20"/>
      <c r="F36" s="16"/>
      <c r="G36" s="16"/>
      <c r="H36" s="16"/>
      <c r="I36" s="16"/>
      <c r="J36" s="16"/>
      <c r="K36" s="16"/>
      <c r="L36" s="16"/>
      <c r="M36" s="16"/>
    </row>
    <row r="37" spans="2:13">
      <c r="B37" s="18"/>
      <c r="C37" s="19"/>
      <c r="D37" s="19"/>
      <c r="E37" s="20"/>
      <c r="F37" s="16"/>
      <c r="G37" s="16"/>
      <c r="H37" s="16"/>
      <c r="I37" s="16"/>
      <c r="J37" s="16"/>
      <c r="K37" s="16"/>
      <c r="L37" s="16"/>
      <c r="M37" s="16"/>
    </row>
    <row r="38" spans="2:13">
      <c r="B38" s="18"/>
      <c r="C38" s="19"/>
      <c r="D38" s="19"/>
      <c r="E38" s="20"/>
      <c r="F38" s="16"/>
      <c r="G38" s="16"/>
      <c r="H38" s="16"/>
      <c r="I38" s="16"/>
      <c r="J38" s="16"/>
      <c r="K38" s="16"/>
      <c r="L38" s="16"/>
      <c r="M38" s="16"/>
    </row>
  </sheetData>
  <mergeCells count="20">
    <mergeCell ref="B21:M23"/>
    <mergeCell ref="B25:M25"/>
    <mergeCell ref="B31:M31"/>
    <mergeCell ref="B10:G11"/>
    <mergeCell ref="H10:M11"/>
    <mergeCell ref="B13:M13"/>
    <mergeCell ref="B14:M18"/>
    <mergeCell ref="B20:M20"/>
    <mergeCell ref="B6:D7"/>
    <mergeCell ref="E6:G7"/>
    <mergeCell ref="H6:J7"/>
    <mergeCell ref="K6:M7"/>
    <mergeCell ref="B9:G9"/>
    <mergeCell ref="H9:M9"/>
    <mergeCell ref="B2:M2"/>
    <mergeCell ref="B3:M3"/>
    <mergeCell ref="B5:D5"/>
    <mergeCell ref="E5:G5"/>
    <mergeCell ref="H5:J5"/>
    <mergeCell ref="K5:M5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78B5"/>
  </sheetPr>
  <dimension ref="A1:BT271"/>
  <sheetViews>
    <sheetView tabSelected="1" zoomScaleNormal="100" workbookViewId="0">
      <selection activeCell="A11" sqref="A11:M11"/>
    </sheetView>
  </sheetViews>
  <sheetFormatPr defaultColWidth="10.42578125" defaultRowHeight="14.45"/>
  <cols>
    <col min="1" max="1" width="12.7109375" customWidth="1"/>
    <col min="2" max="12" width="10.85546875" customWidth="1"/>
    <col min="13" max="13" width="12.7109375" customWidth="1"/>
    <col min="15" max="15" width="16.28515625" bestFit="1" customWidth="1"/>
    <col min="16" max="16" width="16.5703125" hidden="1" customWidth="1"/>
    <col min="17" max="17" width="16.42578125" hidden="1" customWidth="1"/>
    <col min="18" max="18" width="18.140625" hidden="1" customWidth="1"/>
    <col min="19" max="19" width="16.5703125" hidden="1" customWidth="1"/>
    <col min="20" max="20" width="13" hidden="1" customWidth="1"/>
    <col min="21" max="21" width="13.5703125" customWidth="1"/>
    <col min="22" max="35" width="13" customWidth="1"/>
    <col min="37" max="37" width="30.140625" customWidth="1"/>
    <col min="38" max="40" width="14.42578125" customWidth="1"/>
    <col min="41" max="41" width="23.28515625" customWidth="1"/>
    <col min="42" max="44" width="14.42578125" customWidth="1"/>
    <col min="45" max="45" width="27.85546875" customWidth="1"/>
    <col min="46" max="53" width="14.42578125" customWidth="1"/>
    <col min="55" max="55" width="16.7109375" customWidth="1"/>
    <col min="56" max="57" width="19.5703125" customWidth="1"/>
    <col min="58" max="58" width="33.42578125" customWidth="1"/>
    <col min="60" max="60" width="22.28515625" customWidth="1"/>
    <col min="61" max="63" width="19.5703125" customWidth="1"/>
    <col min="64" max="64" width="30.140625" customWidth="1"/>
    <col min="65" max="68" width="19.5703125" customWidth="1"/>
    <col min="69" max="69" width="16.7109375" customWidth="1"/>
    <col min="70" max="72" width="19.5703125" customWidth="1"/>
  </cols>
  <sheetData>
    <row r="1" spans="1:72" ht="31.15" customHeight="1" thickBot="1">
      <c r="A1" s="49" t="s">
        <v>19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S1" s="25"/>
    </row>
    <row r="2" spans="1:72">
      <c r="A2" s="50" t="str">
        <f>"Periodo: "&amp;TEXT(MIN(Detalle_facturado!A2:A100000),"DD/MM/YYYY")&amp;" al "&amp;TEXT(MAX(Detalle_facturado!A2:A100000),"DD/MM/YYYY")&amp;" | Fuente: Detalle_facturado | Actualizacion automatica al recalcular"</f>
        <v>Periodo: 25/07/2026 al 27/08/2026 | Fuente: Detalle_facturado | Actualizacion automatica al recalcular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t="s">
        <v>20</v>
      </c>
      <c r="O2" s="25" t="s">
        <v>21</v>
      </c>
      <c r="P2" s="25" t="s">
        <v>22</v>
      </c>
      <c r="Q2" s="25" t="s">
        <v>23</v>
      </c>
      <c r="R2" s="25" t="s">
        <v>24</v>
      </c>
      <c r="S2" s="26" t="s">
        <v>25</v>
      </c>
      <c r="T2" s="29" t="s">
        <v>26</v>
      </c>
      <c r="U2" s="33" t="s">
        <v>27</v>
      </c>
      <c r="V2" s="43" t="s">
        <v>28</v>
      </c>
      <c r="W2" s="44" t="s">
        <v>29</v>
      </c>
      <c r="X2" s="39" t="s">
        <v>30</v>
      </c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</row>
    <row r="3" spans="1:72">
      <c r="A3" s="51" t="s">
        <v>31</v>
      </c>
      <c r="B3" s="51"/>
      <c r="C3" s="51"/>
      <c r="D3" s="52" t="s">
        <v>32</v>
      </c>
      <c r="E3" s="52"/>
      <c r="F3" s="52"/>
      <c r="G3" s="53" t="s">
        <v>33</v>
      </c>
      <c r="H3" s="53"/>
      <c r="I3" s="53"/>
      <c r="J3" s="54" t="s">
        <v>34</v>
      </c>
      <c r="K3" s="54"/>
      <c r="L3" s="54"/>
      <c r="M3" s="54"/>
      <c r="N3" t="s">
        <v>35</v>
      </c>
      <c r="O3" s="26">
        <v>3241</v>
      </c>
      <c r="P3" s="26">
        <v>3241</v>
      </c>
      <c r="Q3" s="26">
        <v>3241</v>
      </c>
      <c r="R3" s="26">
        <v>3241</v>
      </c>
      <c r="S3" s="26">
        <v>3241</v>
      </c>
      <c r="T3" s="30">
        <v>3241</v>
      </c>
      <c r="U3" s="34">
        <v>3241</v>
      </c>
      <c r="V3" s="35">
        <v>3241</v>
      </c>
      <c r="W3" s="45">
        <v>3241</v>
      </c>
      <c r="X3" s="40">
        <v>3241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K3" s="13" t="s">
        <v>36</v>
      </c>
      <c r="AL3" s="13" t="s">
        <v>18</v>
      </c>
    </row>
    <row r="4" spans="1:72">
      <c r="A4" s="55">
        <f>SUM(Detalle_facturado!W2:W100000)</f>
        <v>177957995.20675144</v>
      </c>
      <c r="B4" s="55"/>
      <c r="C4" s="55"/>
      <c r="D4" s="55">
        <f>SUM(Detalle_facturado!T2:T100000)</f>
        <v>128364876.14014854</v>
      </c>
      <c r="E4" s="55"/>
      <c r="F4" s="55"/>
      <c r="G4" s="55">
        <f>SUM(Detalle_facturado!V2:V100000)</f>
        <v>49593119.066628851</v>
      </c>
      <c r="H4" s="55"/>
      <c r="I4" s="55"/>
      <c r="J4" s="56">
        <f>IFERROR(G4/A4,0)</f>
        <v>0.27867879163850778</v>
      </c>
      <c r="K4" s="56"/>
      <c r="L4" s="56"/>
      <c r="M4" s="56"/>
      <c r="N4" t="s">
        <v>37</v>
      </c>
      <c r="O4" s="26">
        <f>+A4/O3</f>
        <v>54908.360137843702</v>
      </c>
      <c r="P4" s="26">
        <f>+P5/P3</f>
        <v>51976.240421706709</v>
      </c>
      <c r="Q4" s="26">
        <f>+Q5/Q3</f>
        <v>45565.042256521141</v>
      </c>
      <c r="R4" s="26">
        <f>+R5/R3</f>
        <v>39700.802824247156</v>
      </c>
      <c r="S4" s="25">
        <f>+S5/S3</f>
        <v>37474.082009207297</v>
      </c>
      <c r="T4" s="30">
        <f>+T5/T3</f>
        <v>34259.024928059502</v>
      </c>
      <c r="U4" s="34">
        <f>+U5/U3</f>
        <v>36341.463963823335</v>
      </c>
      <c r="V4" s="35">
        <f>+V5/V3</f>
        <v>33409.344247686342</v>
      </c>
      <c r="W4" s="45">
        <f>+W5/W3</f>
        <v>31535.495938308584</v>
      </c>
      <c r="X4" s="40">
        <f>+X5/X3</f>
        <v>30294.904953912159</v>
      </c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K4" s="8" t="s">
        <v>38</v>
      </c>
      <c r="AL4" s="8">
        <f>SUMIF(Detalle_facturado!Q2:Q100000,"Procesamiento",Detalle_facturado!T2:T100000)</f>
        <v>65254104.035037942</v>
      </c>
    </row>
    <row r="5" spans="1:72" ht="15" thickBot="1">
      <c r="A5" s="55"/>
      <c r="B5" s="55"/>
      <c r="C5" s="55"/>
      <c r="D5" s="55"/>
      <c r="E5" s="55"/>
      <c r="F5" s="55"/>
      <c r="G5" s="55"/>
      <c r="H5" s="55"/>
      <c r="I5" s="55"/>
      <c r="J5" s="56"/>
      <c r="K5" s="56"/>
      <c r="L5" s="56"/>
      <c r="M5" s="56"/>
      <c r="N5" t="s">
        <v>39</v>
      </c>
      <c r="O5" s="26">
        <f>+A4</f>
        <v>177957995.20675144</v>
      </c>
      <c r="P5" s="25">
        <f>+O5-P6</f>
        <v>168454995.20675144</v>
      </c>
      <c r="Q5" s="25">
        <f>+O5-Q6</f>
        <v>147676301.95338503</v>
      </c>
      <c r="R5" s="25">
        <f>+P5-R6</f>
        <v>128670301.95338503</v>
      </c>
      <c r="S5" s="25">
        <f>+R5/O8*3450</f>
        <v>121453499.79184085</v>
      </c>
      <c r="T5" s="29">
        <f>+S5-T6</f>
        <v>111033499.79184085</v>
      </c>
      <c r="U5" s="36">
        <f>+O5-U6</f>
        <v>117782684.70675144</v>
      </c>
      <c r="V5" s="37">
        <f>+$O$5-V6</f>
        <v>108279684.70675144</v>
      </c>
      <c r="W5" s="46">
        <f>+V5/O8*3450</f>
        <v>102206542.33605812</v>
      </c>
      <c r="X5" s="41">
        <f>+$O$5-X6</f>
        <v>98185786.955629304</v>
      </c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K5" s="8" t="s">
        <v>40</v>
      </c>
      <c r="AL5" s="8">
        <f>SUMIF(Detalle_facturado!Q2:Q100000,"Plataforma - Producción y Soporte",Detalle_facturado!T2:T100000)</f>
        <v>32829078.851735782</v>
      </c>
    </row>
    <row r="6" spans="1:72" ht="15" thickBot="1">
      <c r="N6" t="s">
        <v>41</v>
      </c>
      <c r="O6" s="25"/>
      <c r="P6" s="26">
        <f>2600*O8</f>
        <v>9503000</v>
      </c>
      <c r="Q6" s="25">
        <f>+G8</f>
        <v>30281693.253366403</v>
      </c>
      <c r="R6" s="25">
        <f>+Q6+P6</f>
        <v>39784693.253366403</v>
      </c>
      <c r="T6" s="29">
        <v>10420000</v>
      </c>
      <c r="U6" s="38">
        <f>+U8/6</f>
        <v>60175310.5</v>
      </c>
      <c r="V6" s="47">
        <f>+U6+P6</f>
        <v>69678310.5</v>
      </c>
      <c r="W6" s="48"/>
      <c r="X6" s="42">
        <f>+V6+Q6/3</f>
        <v>79772208.251122132</v>
      </c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K6" s="8" t="s">
        <v>42</v>
      </c>
      <c r="AL6" s="8">
        <f>SUMIF(Detalle_facturado!Q2:Q100000,"Plataforma - Ambiente de Pruebas",Detalle_facturado!T2:T100000)</f>
        <v>30281693.253366403</v>
      </c>
    </row>
    <row r="7" spans="1:72">
      <c r="A7" s="57" t="s">
        <v>43</v>
      </c>
      <c r="B7" s="57"/>
      <c r="C7" s="57"/>
      <c r="D7" s="58" t="s">
        <v>44</v>
      </c>
      <c r="E7" s="58"/>
      <c r="F7" s="58"/>
      <c r="G7" s="59" t="s">
        <v>45</v>
      </c>
      <c r="H7" s="59"/>
      <c r="I7" s="59"/>
      <c r="J7" s="60" t="s">
        <v>46</v>
      </c>
      <c r="K7" s="60"/>
      <c r="L7" s="60"/>
      <c r="M7" s="60"/>
      <c r="O7" t="s">
        <v>29</v>
      </c>
      <c r="T7" s="31"/>
      <c r="AK7" s="8" t="s">
        <v>47</v>
      </c>
      <c r="AL7" s="8">
        <f>SUM(Detalle_facturado!V2:V100000)</f>
        <v>49593119.066628851</v>
      </c>
    </row>
    <row r="8" spans="1:72">
      <c r="A8" s="61">
        <f>SUMIF(Detalle_facturado!Q2:Q100000,"Procesamiento",Detalle_facturado!T2:T100000)</f>
        <v>65254104.035037942</v>
      </c>
      <c r="B8" s="61"/>
      <c r="C8" s="61"/>
      <c r="D8" s="61">
        <f>SUMIF(Detalle_facturado!Q2:Q100000,"Plataforma - Producción y Soporte",Detalle_facturado!T2:T100000)</f>
        <v>32829078.851735782</v>
      </c>
      <c r="E8" s="61"/>
      <c r="F8" s="61"/>
      <c r="G8" s="61">
        <f>SUMIF(Detalle_facturado!Q2:Q100000,"Plataforma - Ambiente de Pruebas",Detalle_facturado!T2:T100000)</f>
        <v>30281693.253366403</v>
      </c>
      <c r="H8" s="61"/>
      <c r="I8" s="61"/>
      <c r="J8" s="56">
        <f>IFERROR(SUMIF(Detalle_facturado!AB2:AB100000,"GenAI",Detalle_facturado!W2:W100000)/A4,0)</f>
        <v>0.70056541724137678</v>
      </c>
      <c r="K8" s="56"/>
      <c r="L8" s="56"/>
      <c r="M8" s="56"/>
      <c r="O8">
        <v>3655</v>
      </c>
      <c r="T8" s="31"/>
      <c r="U8" s="24">
        <v>361051863</v>
      </c>
    </row>
    <row r="9" spans="1:72">
      <c r="A9" s="61"/>
      <c r="B9" s="61"/>
      <c r="C9" s="61"/>
      <c r="D9" s="61"/>
      <c r="E9" s="61"/>
      <c r="F9" s="61"/>
      <c r="G9" s="61"/>
      <c r="H9" s="61"/>
      <c r="I9" s="61"/>
      <c r="J9" s="56"/>
      <c r="K9" s="56"/>
      <c r="L9" s="56"/>
      <c r="M9" s="56"/>
      <c r="T9" s="31"/>
    </row>
    <row r="10" spans="1:72">
      <c r="P10" s="23"/>
      <c r="T10" t="s">
        <v>48</v>
      </c>
      <c r="U10" t="s">
        <v>49</v>
      </c>
      <c r="V10" t="s">
        <v>50</v>
      </c>
      <c r="W10" t="s">
        <v>51</v>
      </c>
    </row>
    <row r="11" spans="1:72" ht="15.6">
      <c r="A11" s="71" t="s">
        <v>52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R11" s="23"/>
      <c r="T11" t="s">
        <v>53</v>
      </c>
      <c r="U11" t="s">
        <v>51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59</v>
      </c>
      <c r="AB11" t="s">
        <v>60</v>
      </c>
      <c r="AC11" t="s">
        <v>61</v>
      </c>
      <c r="AD11" t="s">
        <v>62</v>
      </c>
      <c r="AE11" t="s">
        <v>63</v>
      </c>
      <c r="AF11" t="s">
        <v>64</v>
      </c>
    </row>
    <row r="12" spans="1:72">
      <c r="U12" s="24">
        <v>3241</v>
      </c>
      <c r="V12" s="24">
        <v>5250</v>
      </c>
      <c r="W12" s="24">
        <f>+V12</f>
        <v>5250</v>
      </c>
      <c r="X12" s="24">
        <f>+W12</f>
        <v>5250</v>
      </c>
      <c r="Y12" s="24">
        <f t="shared" ref="Y12:AF12" si="0">+X12</f>
        <v>5250</v>
      </c>
      <c r="Z12" s="24">
        <f t="shared" si="0"/>
        <v>5250</v>
      </c>
      <c r="AA12" s="24">
        <f t="shared" si="0"/>
        <v>5250</v>
      </c>
      <c r="AB12" s="24">
        <f t="shared" si="0"/>
        <v>5250</v>
      </c>
      <c r="AC12" s="24">
        <f t="shared" si="0"/>
        <v>5250</v>
      </c>
      <c r="AD12" s="24">
        <f t="shared" si="0"/>
        <v>5250</v>
      </c>
      <c r="AE12" s="24">
        <f t="shared" si="0"/>
        <v>5250</v>
      </c>
      <c r="AF12" s="24">
        <f t="shared" si="0"/>
        <v>5250</v>
      </c>
      <c r="AG12" s="24"/>
      <c r="AH12" s="24"/>
      <c r="AI12" s="24"/>
      <c r="AK12" s="13" t="s">
        <v>65</v>
      </c>
      <c r="AL12" s="13" t="s">
        <v>66</v>
      </c>
      <c r="AM12" s="13" t="s">
        <v>67</v>
      </c>
      <c r="AO12" s="13" t="s">
        <v>68</v>
      </c>
      <c r="AP12" s="13" t="s">
        <v>66</v>
      </c>
      <c r="AQ12" s="13" t="s">
        <v>67</v>
      </c>
      <c r="AS12" s="13" t="s">
        <v>69</v>
      </c>
      <c r="AT12" s="13" t="s">
        <v>66</v>
      </c>
      <c r="AV12" s="13" t="s">
        <v>70</v>
      </c>
      <c r="AW12" s="13" t="s">
        <v>66</v>
      </c>
      <c r="AY12" s="13" t="s">
        <v>71</v>
      </c>
      <c r="AZ12" s="13" t="s">
        <v>66</v>
      </c>
      <c r="BA12" s="13" t="s">
        <v>72</v>
      </c>
      <c r="BC12" s="13" t="s">
        <v>73</v>
      </c>
      <c r="BD12" s="13" t="s">
        <v>72</v>
      </c>
      <c r="BE12" s="13" t="s">
        <v>74</v>
      </c>
      <c r="BF12" s="13" t="s">
        <v>75</v>
      </c>
      <c r="BH12" s="13" t="s">
        <v>68</v>
      </c>
      <c r="BI12" s="13" t="s">
        <v>72</v>
      </c>
      <c r="BJ12" s="13" t="s">
        <v>74</v>
      </c>
      <c r="BL12" s="13" t="s">
        <v>69</v>
      </c>
      <c r="BM12" s="13" t="s">
        <v>76</v>
      </c>
      <c r="BN12" s="13" t="s">
        <v>40</v>
      </c>
      <c r="BO12" s="13" t="s">
        <v>42</v>
      </c>
      <c r="BQ12" s="13" t="s">
        <v>71</v>
      </c>
      <c r="BR12" s="13" t="s">
        <v>38</v>
      </c>
      <c r="BS12" s="13" t="s">
        <v>40</v>
      </c>
      <c r="BT12" s="13" t="s">
        <v>42</v>
      </c>
    </row>
    <row r="13" spans="1:72">
      <c r="U13" s="24">
        <f>+U12*4.5</f>
        <v>14584.5</v>
      </c>
      <c r="V13" s="24">
        <f>+V12*4.5</f>
        <v>23625</v>
      </c>
      <c r="W13" s="24">
        <f>+W12*4.5</f>
        <v>23625</v>
      </c>
      <c r="X13" s="24">
        <f>+X12*4.5</f>
        <v>23625</v>
      </c>
      <c r="Y13" s="24">
        <f t="shared" ref="Y13:AB13" si="1">+Y12*4.5</f>
        <v>23625</v>
      </c>
      <c r="Z13" s="24">
        <f t="shared" si="1"/>
        <v>23625</v>
      </c>
      <c r="AA13" s="24">
        <f t="shared" si="1"/>
        <v>23625</v>
      </c>
      <c r="AB13" s="24">
        <f t="shared" si="1"/>
        <v>23625</v>
      </c>
      <c r="AC13" s="24">
        <f t="shared" ref="AC13" si="2">+AC12*4.5</f>
        <v>23625</v>
      </c>
      <c r="AD13" s="24">
        <f t="shared" ref="AD13" si="3">+AD12*4.5</f>
        <v>23625</v>
      </c>
      <c r="AE13" s="24">
        <f t="shared" ref="AE13" si="4">+AE12*4.5</f>
        <v>23625</v>
      </c>
      <c r="AF13" s="24">
        <f t="shared" ref="AF13" si="5">+AF12*4.5</f>
        <v>23625</v>
      </c>
      <c r="AG13" s="24"/>
      <c r="AH13" s="24"/>
      <c r="AI13" s="24"/>
      <c r="AK13" s="8" t="s">
        <v>77</v>
      </c>
      <c r="AL13" s="8">
        <f>SUMIF(Detalle_facturado!F2:F100000,AK13,Detalle_facturado!W2:W100000)</f>
        <v>120911547.13167547</v>
      </c>
      <c r="AM13" s="8">
        <f>RANK(AL13,$AL$13:$AL$76,0)+COUNTIF($AL$13:AL13,AL13)-1</f>
        <v>1</v>
      </c>
      <c r="AO13" s="8" t="s">
        <v>78</v>
      </c>
      <c r="AP13" s="8">
        <f>SUMIF(Detalle_facturado!AB2:AB100000,AO13,Detalle_facturado!W2:W100000)</f>
        <v>124671217.16345675</v>
      </c>
      <c r="AQ13" s="8">
        <f>RANK(AP13,$AP$13:$AP$34,0)+COUNTIF($AP$13:AP13,AP13)-1</f>
        <v>1</v>
      </c>
      <c r="AS13" s="8" t="s">
        <v>79</v>
      </c>
      <c r="AT13" s="8">
        <f>SUMIF(Detalle_facturado!D2:D100000,AS13,Detalle_facturado!W2:W100000)</f>
        <v>122610705.2836618</v>
      </c>
      <c r="AV13" s="8" t="s">
        <v>80</v>
      </c>
      <c r="AW13" s="8">
        <f>SUMIF(Detalle_facturado!E2:E100000,AV13,Detalle_facturado!W2:W100000)</f>
        <v>145576072.13382494</v>
      </c>
      <c r="AY13" s="9">
        <f>INT(MIN(Detalle_facturado!A2:A100000))</f>
        <v>46228</v>
      </c>
      <c r="AZ13" s="8">
        <f>IF(ISNA(AY13),NA(),SUMIFS(Detalle_facturado!W2:W100000,Detalle_facturado!A2:A100000,"&gt;="&amp;AY13,Detalle_facturado!A2:A100000,"&lt;"&amp;AY13+1))</f>
        <v>2081954.5187631473</v>
      </c>
      <c r="BA13" s="8">
        <f>IF(ISNA(AY13),NA(),SUMIFS(Detalle_facturado!T2:T100000,Detalle_facturado!A2:A100000,"&gt;="&amp;AY13,Detalle_facturado!A2:A100000,"&lt;"&amp;AY13+1))</f>
        <v>2081919.1658136412</v>
      </c>
      <c r="BC13" s="8" t="s">
        <v>81</v>
      </c>
      <c r="BD13" s="8">
        <f>SUMIF(Detalle_facturado!F2:F100000,BF13,Detalle_facturado!T2:T100000)</f>
        <v>72900872.29300651</v>
      </c>
      <c r="BE13" s="8">
        <f>SUMIF(Detalle_facturado!F2:F100000,BF13,Detalle_facturado!V2:V100000)</f>
        <v>48010674.838668965</v>
      </c>
      <c r="BF13" s="8" t="s">
        <v>77</v>
      </c>
      <c r="BH13" s="8" t="str">
        <f t="shared" ref="BH13:BH22" si="6">AO81</f>
        <v>GenAI</v>
      </c>
      <c r="BI13" s="8">
        <f>SUMIF(Detalle_facturado!AB2:AB100000,BH13,Detalle_facturado!T2:T100000)</f>
        <v>75192344.077459127</v>
      </c>
      <c r="BJ13" s="8">
        <f>SUMIF(Detalle_facturado!AB2:AB100000,BH13,Detalle_facturado!V2:V100000)</f>
        <v>49478873.085997693</v>
      </c>
      <c r="BL13" s="8" t="str">
        <f t="shared" ref="BL13:BL20" si="7">AS13</f>
        <v>ADRES - PROD - Medical Audit</v>
      </c>
      <c r="BM13" s="8">
        <f>IF(SUMIFS(Detalle_facturado!W2:W100000,Detalle_facturado!D2:D100000,BL13,Detalle_facturado!Q2:Q100000,"Procesamiento")=0,NA(),SUMIFS(Detalle_facturado!W2:W100000,Detalle_facturado!D2:D100000,BL13,Detalle_facturado!Q2:Q100000,"Procesamiento"))</f>
        <v>114847223.10166661</v>
      </c>
      <c r="BN13" s="8">
        <f>IF(SUMIFS(Detalle_facturado!W2:W100000,Detalle_facturado!D2:D100000,BL13,Detalle_facturado!Q2:Q100000,"Plataforma - Producción y Soporte")=0,NA(),SUMIFS(Detalle_facturado!W2:W100000,Detalle_facturado!D2:D100000,BL13,Detalle_facturado!Q2:Q100000,"Plataforma - Producción y Soporte"))</f>
        <v>7763482.181990915</v>
      </c>
      <c r="BO13" s="8" t="e">
        <f>IF(SUMIFS(Detalle_facturado!W2:W100000,Detalle_facturado!D2:D100000,BL13,Detalle_facturado!Q2:Q100000,"Plataforma - Ambiente de Pruebas")=0,NA(),SUMIFS(Detalle_facturado!W2:W100000,Detalle_facturado!D2:D100000,BL13,Detalle_facturado!Q2:Q100000,"Plataforma - Ambiente de Pruebas"))</f>
        <v>#N/A</v>
      </c>
      <c r="BQ13" s="9">
        <f t="shared" ref="BQ13:BQ46" si="8">AY13</f>
        <v>46228</v>
      </c>
      <c r="BR13" s="8">
        <f>SUMIFS(Detalle_facturado!T2:T100000,Detalle_facturado!A2:A100000,"&gt;="&amp;BQ13,Detalle_facturado!A2:A100000,"&lt;"&amp;BQ13+1,Detalle_facturado!Q2:Q100000,"Procesamiento")</f>
        <v>46.517038823964</v>
      </c>
      <c r="BS13" s="8">
        <f>SUMIFS(Detalle_facturado!T2:T100000,Detalle_facturado!A2:A100000,"&gt;="&amp;BQ13,Detalle_facturado!A2:A100000,"&lt;"&amp;BQ13+1,Detalle_facturado!Q2:Q100000,"Plataforma - Producción y Soporte")</f>
        <v>270280.26335172029</v>
      </c>
      <c r="BT13" s="8">
        <f>SUMIFS(Detalle_facturado!T2:T100000,Detalle_facturado!A2:A100000,"&gt;="&amp;BQ13,Detalle_facturado!A2:A100000,"&lt;"&amp;BQ13+1,Detalle_facturado!Q2:Q100000,"Plataforma - Ambiente de Pruebas")</f>
        <v>1811592.3854230961</v>
      </c>
    </row>
    <row r="14" spans="1:72">
      <c r="U14" s="24">
        <f>+U13*3650</f>
        <v>53233425</v>
      </c>
      <c r="V14" s="24">
        <f>+V13*3650</f>
        <v>86231250</v>
      </c>
      <c r="W14" s="24">
        <f>+W13*3650</f>
        <v>86231250</v>
      </c>
      <c r="X14" s="24">
        <f>+X13*3650</f>
        <v>86231250</v>
      </c>
      <c r="Y14" s="24">
        <f t="shared" ref="Y14:AB14" si="9">+Y13*3650</f>
        <v>86231250</v>
      </c>
      <c r="Z14" s="24">
        <f t="shared" si="9"/>
        <v>86231250</v>
      </c>
      <c r="AA14" s="24">
        <f t="shared" si="9"/>
        <v>86231250</v>
      </c>
      <c r="AB14" s="24">
        <f t="shared" si="9"/>
        <v>86231250</v>
      </c>
      <c r="AC14" s="24">
        <f t="shared" ref="AC14" si="10">+AC13*3650</f>
        <v>86231250</v>
      </c>
      <c r="AD14" s="24">
        <f t="shared" ref="AD14" si="11">+AD13*3650</f>
        <v>86231250</v>
      </c>
      <c r="AE14" s="24">
        <f t="shared" ref="AE14" si="12">+AE13*3650</f>
        <v>86231250</v>
      </c>
      <c r="AF14" s="24">
        <f t="shared" ref="AF14" si="13">+AF13*3650</f>
        <v>86231250</v>
      </c>
      <c r="AG14" s="24"/>
      <c r="AH14" s="24"/>
      <c r="AI14" s="24"/>
      <c r="AK14" s="8" t="s">
        <v>82</v>
      </c>
      <c r="AL14" s="8">
        <f>SUMIF(Detalle_facturado!F2:F100000,AK14,Detalle_facturado!W2:W100000)</f>
        <v>1818206.5634816634</v>
      </c>
      <c r="AM14" s="8">
        <f>RANK(AL14,$AL$13:$AL$76,0)+COUNTIF($AL$13:AL14,AL14)-1</f>
        <v>8</v>
      </c>
      <c r="AO14" s="8" t="s">
        <v>83</v>
      </c>
      <c r="AP14" s="8">
        <f>SUMIF(Detalle_facturado!AB2:AB100000,AO14,Detalle_facturado!W2:W100000)</f>
        <v>0</v>
      </c>
      <c r="AQ14" s="8">
        <f>RANK(AP14,$AP$13:$AP$34,0)+COUNTIF($AP$13:AP14,AP14)-1</f>
        <v>22</v>
      </c>
      <c r="AS14" s="8" t="s">
        <v>84</v>
      </c>
      <c r="AT14" s="8">
        <f>SUMIF(Detalle_facturado!D2:D100000,AS14,Detalle_facturado!W2:W100000)</f>
        <v>30281693.253366403</v>
      </c>
      <c r="AV14" s="8" t="s">
        <v>85</v>
      </c>
      <c r="AW14" s="8">
        <f>SUMIF(Detalle_facturado!E2:E100000,AV14,Detalle_facturado!W2:W100000)</f>
        <v>32381923.072948035</v>
      </c>
      <c r="AY14" s="9">
        <f>IF(AY13&lt;INT(MAX(Detalle_facturado!A2:A100000)),AY13+1,NA())</f>
        <v>46229</v>
      </c>
      <c r="AZ14" s="8">
        <f>IF(ISNA(AY14),NA(),SUMIFS(Detalle_facturado!W2:W100000,Detalle_facturado!A2:A100000,"&gt;="&amp;AY14,Detalle_facturado!A2:A100000,"&lt;"&amp;AY14+1))</f>
        <v>1335192.4935093976</v>
      </c>
      <c r="BA14" s="8">
        <f>IF(ISNA(AY14),NA(),SUMIFS(Detalle_facturado!T2:T100000,Detalle_facturado!A2:A100000,"&gt;="&amp;AY14,Detalle_facturado!A2:A100000,"&lt;"&amp;AY14+1))</f>
        <v>1335155.3368787307</v>
      </c>
      <c r="BC14" s="8" t="s">
        <v>86</v>
      </c>
      <c r="BD14" s="8">
        <f>SUMIF(Detalle_facturado!F2:F100000,BF14,Detalle_facturado!T2:T100000)</f>
        <v>1072780.6980880329</v>
      </c>
      <c r="BE14" s="8">
        <f>SUMIF(Detalle_facturado!F2:F100000,BF14,Detalle_facturado!V2:V100000)</f>
        <v>745425.86539362872</v>
      </c>
      <c r="BF14" s="8" t="s">
        <v>82</v>
      </c>
      <c r="BH14" s="8" t="str">
        <f t="shared" si="6"/>
        <v>Soporte AWS</v>
      </c>
      <c r="BI14" s="8">
        <f>SUMIF(Detalle_facturado!AB2:AB100000,BH14,Detalle_facturado!T2:T100000)</f>
        <v>20895270.413999997</v>
      </c>
      <c r="BJ14" s="8">
        <f>SUMIF(Detalle_facturado!AB2:AB100000,BH14,Detalle_facturado!V2:V100000)</f>
        <v>0</v>
      </c>
      <c r="BL14" s="8" t="str">
        <f t="shared" si="7"/>
        <v>ADRES - TEST - Medical Audit</v>
      </c>
      <c r="BM14" s="8" t="e">
        <f>IF(SUMIFS(Detalle_facturado!W2:W100000,Detalle_facturado!D2:D100000,BL14,Detalle_facturado!Q2:Q100000,"Procesamiento")=0,NA(),SUMIFS(Detalle_facturado!W2:W100000,Detalle_facturado!D2:D100000,BL14,Detalle_facturado!Q2:Q100000,"Procesamiento"))</f>
        <v>#N/A</v>
      </c>
      <c r="BN14" s="8" t="e">
        <f>IF(SUMIFS(Detalle_facturado!W2:W100000,Detalle_facturado!D2:D100000,BL14,Detalle_facturado!Q2:Q100000,"Plataforma - Producción y Soporte")=0,NA(),SUMIFS(Detalle_facturado!W2:W100000,Detalle_facturado!D2:D100000,BL14,Detalle_facturado!Q2:Q100000,"Plataforma - Producción y Soporte"))</f>
        <v>#N/A</v>
      </c>
      <c r="BO14" s="8">
        <f>IF(SUMIFS(Detalle_facturado!W2:W100000,Detalle_facturado!D2:D100000,BL14,Detalle_facturado!Q2:Q100000,"Plataforma - Ambiente de Pruebas")=0,NA(),SUMIFS(Detalle_facturado!W2:W100000,Detalle_facturado!D2:D100000,BL14,Detalle_facturado!Q2:Q100000,"Plataforma - Ambiente de Pruebas"))</f>
        <v>30281693.253366403</v>
      </c>
      <c r="BQ14" s="9">
        <f t="shared" si="8"/>
        <v>46229</v>
      </c>
      <c r="BR14" s="8">
        <f>SUMIFS(Detalle_facturado!T2:T100000,Detalle_facturado!A2:A100000,"&gt;="&amp;BQ14,Detalle_facturado!A2:A100000,"&lt;"&amp;BQ14+1,Detalle_facturado!Q2:Q100000,"Procesamiento")</f>
        <v>48.890303508619994</v>
      </c>
      <c r="BS14" s="8">
        <f>SUMIFS(Detalle_facturado!T2:T100000,Detalle_facturado!A2:A100000,"&gt;="&amp;BQ14,Detalle_facturado!A2:A100000,"&lt;"&amp;BQ14+1,Detalle_facturado!Q2:Q100000,"Plataforma - Producción y Soporte")</f>
        <v>274887.80622004939</v>
      </c>
      <c r="BT14" s="8">
        <f>SUMIFS(Detalle_facturado!T2:T100000,Detalle_facturado!A2:A100000,"&gt;="&amp;BQ14,Detalle_facturado!A2:A100000,"&lt;"&amp;BQ14+1,Detalle_facturado!Q2:Q100000,"Plataforma - Ambiente de Pruebas")</f>
        <v>1060218.6403551714</v>
      </c>
    </row>
    <row r="15" spans="1:72">
      <c r="AK15" s="8" t="s">
        <v>87</v>
      </c>
      <c r="AL15" s="8">
        <f>SUMIF(Detalle_facturado!F2:F100000,AK15,Detalle_facturado!W2:W100000)</f>
        <v>1413954.0748327533</v>
      </c>
      <c r="AM15" s="8">
        <f>RANK(AL15,$AL$13:$AL$76,0)+COUNTIF($AL$13:AL15,AL15)-1</f>
        <v>11</v>
      </c>
      <c r="AO15" s="8" t="s">
        <v>88</v>
      </c>
      <c r="AP15" s="8">
        <f>SUMIF(Detalle_facturado!AB2:AB100000,AO15,Detalle_facturado!W2:W100000)</f>
        <v>7183.922058298177</v>
      </c>
      <c r="AQ15" s="8">
        <f>RANK(AP15,$AP$13:$AP$34,0)+COUNTIF($AP$13:AP15,AP15)-1</f>
        <v>18</v>
      </c>
      <c r="AS15" s="8" t="s">
        <v>89</v>
      </c>
      <c r="AT15" s="8">
        <f>SUMIF(Detalle_facturado!D2:D100000,AS15,Detalle_facturado!W2:W100000)</f>
        <v>21161408.789485298</v>
      </c>
      <c r="AY15" s="9">
        <f>IF(AY14&lt;INT(MAX(Detalle_facturado!A2:A100000)),AY14+1,NA())</f>
        <v>46230</v>
      </c>
      <c r="AZ15" s="8">
        <f>IF(ISNA(AY15),NA(),SUMIFS(Detalle_facturado!W2:W100000,Detalle_facturado!A2:A100000,"&gt;="&amp;AY15,Detalle_facturado!A2:A100000,"&lt;"&amp;AY15+1))</f>
        <v>2150998.912277448</v>
      </c>
      <c r="BA15" s="8">
        <f>IF(ISNA(AY15),NA(),SUMIFS(Detalle_facturado!T2:T100000,Detalle_facturado!A2:A100000,"&gt;="&amp;AY15,Detalle_facturado!A2:A100000,"&lt;"&amp;AY15+1))</f>
        <v>1756066.5910880044</v>
      </c>
      <c r="BC15" s="8" t="s">
        <v>90</v>
      </c>
      <c r="BD15" s="8">
        <f>SUMIF(Detalle_facturado!F2:F100000,BF15,Detalle_facturado!T2:T100000)</f>
        <v>879350.13827906852</v>
      </c>
      <c r="BE15" s="8">
        <f>SUMIF(Detalle_facturado!F2:F100000,BF15,Detalle_facturado!V2:V100000)</f>
        <v>534603.93655368476</v>
      </c>
      <c r="BF15" s="8" t="s">
        <v>87</v>
      </c>
      <c r="BH15" s="8" t="str">
        <f t="shared" si="6"/>
        <v>Analitica y BI</v>
      </c>
      <c r="BI15" s="8">
        <f>SUMIF(Detalle_facturado!AB2:AB100000,BH15,Detalle_facturado!T2:T100000)</f>
        <v>8397938.4288560618</v>
      </c>
      <c r="BJ15" s="8">
        <f>SUMIF(Detalle_facturado!AB2:AB100000,BH15,Detalle_facturado!V2:V100000)</f>
        <v>0</v>
      </c>
      <c r="BL15" s="8" t="str">
        <f t="shared" si="7"/>
        <v>ADRES - PROD - Master</v>
      </c>
      <c r="BM15" s="8" t="e">
        <f>IF(SUMIFS(Detalle_facturado!W2:W100000,Detalle_facturado!D2:D100000,BL15,Detalle_facturado!Q2:Q100000,"Procesamiento")=0,NA(),SUMIFS(Detalle_facturado!W2:W100000,Detalle_facturado!D2:D100000,BL15,Detalle_facturado!Q2:Q100000,"Procesamiento"))</f>
        <v>#N/A</v>
      </c>
      <c r="BN15" s="8">
        <f>IF(SUMIFS(Detalle_facturado!W2:W100000,Detalle_facturado!D2:D100000,BL15,Detalle_facturado!Q2:Q100000,"Plataforma - Producción y Soporte")=0,NA(),SUMIFS(Detalle_facturado!W2:W100000,Detalle_facturado!D2:D100000,BL15,Detalle_facturado!Q2:Q100000,"Plataforma - Producción y Soporte"))</f>
        <v>21161408.789485298</v>
      </c>
      <c r="BO15" s="8" t="e">
        <f>IF(SUMIFS(Detalle_facturado!W2:W100000,Detalle_facturado!D2:D100000,BL15,Detalle_facturado!Q2:Q100000,"Plataforma - Ambiente de Pruebas")=0,NA(),SUMIFS(Detalle_facturado!W2:W100000,Detalle_facturado!D2:D100000,BL15,Detalle_facturado!Q2:Q100000,"Plataforma - Ambiente de Pruebas"))</f>
        <v>#N/A</v>
      </c>
      <c r="BQ15" s="9">
        <f t="shared" si="8"/>
        <v>46230</v>
      </c>
      <c r="BR15" s="8">
        <f>SUMIFS(Detalle_facturado!T2:T100000,Detalle_facturado!A2:A100000,"&gt;="&amp;BQ15,Detalle_facturado!A2:A100000,"&lt;"&amp;BQ15+1,Detalle_facturado!Q2:Q100000,"Procesamiento")</f>
        <v>519647.79103871377</v>
      </c>
      <c r="BS15" s="8">
        <f>SUMIFS(Detalle_facturado!T2:T100000,Detalle_facturado!A2:A100000,"&gt;="&amp;BQ15,Detalle_facturado!A2:A100000,"&lt;"&amp;BQ15+1,Detalle_facturado!Q2:Q100000,"Plataforma - Producción y Soporte")</f>
        <v>290352.4771420164</v>
      </c>
      <c r="BT15" s="8">
        <f>SUMIFS(Detalle_facturado!T2:T100000,Detalle_facturado!A2:A100000,"&gt;="&amp;BQ15,Detalle_facturado!A2:A100000,"&lt;"&amp;BQ15+1,Detalle_facturado!Q2:Q100000,"Plataforma - Ambiente de Pruebas")</f>
        <v>946066.3229072711</v>
      </c>
    </row>
    <row r="16" spans="1:72">
      <c r="U16" s="28">
        <f>+SUM(U14:W14)</f>
        <v>225695925</v>
      </c>
      <c r="X16" s="28">
        <f>+SUM(X14:Z14)</f>
        <v>258693750</v>
      </c>
      <c r="AA16" s="28">
        <f>+SUM(AA14:AC14)</f>
        <v>258693750</v>
      </c>
      <c r="AD16" s="28">
        <f>+SUM(AD14:AF14)</f>
        <v>258693750</v>
      </c>
      <c r="AK16" s="8" t="s">
        <v>91</v>
      </c>
      <c r="AL16" s="8">
        <f>SUMIF(Detalle_facturado!F2:F100000,AK16,Detalle_facturado!W2:W100000)</f>
        <v>73443.756758215794</v>
      </c>
      <c r="AM16" s="8">
        <f>RANK(AL16,$AL$13:$AL$76,0)+COUNTIF($AL$13:AL16,AL16)-1</f>
        <v>28</v>
      </c>
      <c r="AO16" s="8" t="s">
        <v>92</v>
      </c>
      <c r="AP16" s="8">
        <f>SUMIF(Detalle_facturado!AB2:AB100000,AO16,Detalle_facturado!W2:W100000)</f>
        <v>2873413.6992064477</v>
      </c>
      <c r="AQ16" s="8">
        <f>RANK(AP16,$AP$13:$AP$34,0)+COUNTIF($AP$13:AP16,AP16)-1</f>
        <v>5</v>
      </c>
      <c r="AS16" s="8" t="s">
        <v>93</v>
      </c>
      <c r="AT16" s="8">
        <f>SUMIF(Detalle_facturado!D2:D100000,AS16,Detalle_facturado!W2:W100000)</f>
        <v>2100229.8195826644</v>
      </c>
      <c r="AY16" s="9">
        <f>IF(AY15&lt;INT(MAX(Detalle_facturado!A2:A100000)),AY15+1,NA())</f>
        <v>46231</v>
      </c>
      <c r="AZ16" s="8">
        <f>IF(ISNA(AY16),NA(),SUMIFS(Detalle_facturado!W2:W100000,Detalle_facturado!A2:A100000,"&gt;="&amp;AY16,Detalle_facturado!A2:A100000,"&lt;"&amp;AY16+1))</f>
        <v>8884559.958431419</v>
      </c>
      <c r="BA16" s="8">
        <f>IF(ISNA(AY16),NA(),SUMIFS(Detalle_facturado!T2:T100000,Detalle_facturado!A2:A100000,"&gt;="&amp;AY16,Detalle_facturado!A2:A100000,"&lt;"&amp;AY16+1))</f>
        <v>5813960.8838351285</v>
      </c>
      <c r="BC16" s="8" t="s">
        <v>94</v>
      </c>
      <c r="BD16" s="8">
        <f>SUMIF(Detalle_facturado!F2:F100000,BF16,Detalle_facturado!T2:T100000)</f>
        <v>73443.756758215794</v>
      </c>
      <c r="BE16" s="8">
        <f>SUMIF(Detalle_facturado!F2:F100000,BF16,Detalle_facturado!V2:V100000)</f>
        <v>0</v>
      </c>
      <c r="BF16" s="8" t="s">
        <v>91</v>
      </c>
      <c r="BH16" s="8" t="str">
        <f t="shared" si="6"/>
        <v>Busqueda y analitica</v>
      </c>
      <c r="BI16" s="8">
        <f>SUMIF(Detalle_facturado!AB2:AB100000,BH16,Detalle_facturado!T2:T100000)</f>
        <v>3371362.1955144969</v>
      </c>
      <c r="BJ16" s="8">
        <f>SUMIF(Detalle_facturado!AB2:AB100000,BH16,Detalle_facturado!V2:V100000)</f>
        <v>0</v>
      </c>
      <c r="BL16" s="8" t="str">
        <f t="shared" si="7"/>
        <v>ADRES - TEST - Shared Resources</v>
      </c>
      <c r="BM16" s="8" t="e">
        <f>IF(SUMIFS(Detalle_facturado!W2:W100000,Detalle_facturado!D2:D100000,BL16,Detalle_facturado!Q2:Q100000,"Procesamiento")=0,NA(),SUMIFS(Detalle_facturado!W2:W100000,Detalle_facturado!D2:D100000,BL16,Detalle_facturado!Q2:Q100000,"Procesamiento"))</f>
        <v>#N/A</v>
      </c>
      <c r="BN16" s="8">
        <f>IF(SUMIFS(Detalle_facturado!W2:W100000,Detalle_facturado!D2:D100000,BL16,Detalle_facturado!Q2:Q100000,"Plataforma - Producción y Soporte")=0,NA(),SUMIFS(Detalle_facturado!W2:W100000,Detalle_facturado!D2:D100000,BL16,Detalle_facturado!Q2:Q100000,"Plataforma - Producción y Soporte"))</f>
        <v>2100229.8195826644</v>
      </c>
      <c r="BO16" s="8" t="e">
        <f>IF(SUMIFS(Detalle_facturado!W2:W100000,Detalle_facturado!D2:D100000,BL16,Detalle_facturado!Q2:Q100000,"Plataforma - Ambiente de Pruebas")=0,NA(),SUMIFS(Detalle_facturado!W2:W100000,Detalle_facturado!D2:D100000,BL16,Detalle_facturado!Q2:Q100000,"Plataforma - Ambiente de Pruebas"))</f>
        <v>#N/A</v>
      </c>
      <c r="BQ16" s="9">
        <f t="shared" si="8"/>
        <v>46231</v>
      </c>
      <c r="BR16" s="8">
        <f>SUMIFS(Detalle_facturado!T2:T100000,Detalle_facturado!A2:A100000,"&gt;="&amp;BQ16,Detalle_facturado!A2:A100000,"&lt;"&amp;BQ16+1,Detalle_facturado!Q2:Q100000,"Procesamiento")</f>
        <v>4040261.9402583074</v>
      </c>
      <c r="BS16" s="8">
        <f>SUMIFS(Detalle_facturado!T2:T100000,Detalle_facturado!A2:A100000,"&gt;="&amp;BQ16,Detalle_facturado!A2:A100000,"&lt;"&amp;BQ16+1,Detalle_facturado!Q2:Q100000,"Plataforma - Producción y Soporte")</f>
        <v>363552.54966839147</v>
      </c>
      <c r="BT16" s="8">
        <f>SUMIFS(Detalle_facturado!T2:T100000,Detalle_facturado!A2:A100000,"&gt;="&amp;BQ16,Detalle_facturado!A2:A100000,"&lt;"&amp;BQ16+1,Detalle_facturado!Q2:Q100000,"Plataforma - Ambiente de Pruebas")</f>
        <v>1410146.3939084613</v>
      </c>
    </row>
    <row r="17" spans="21:72">
      <c r="U17" s="24">
        <f>173035*3200</f>
        <v>553712000</v>
      </c>
      <c r="X17" s="24">
        <f>9000*3650</f>
        <v>32850000</v>
      </c>
      <c r="AA17" s="28">
        <f>94159*3650</f>
        <v>343680350</v>
      </c>
      <c r="AD17" s="28">
        <f>230282*3650</f>
        <v>840529300</v>
      </c>
      <c r="AK17" s="8" t="s">
        <v>95</v>
      </c>
      <c r="AL17" s="8">
        <f>SUMIF(Detalle_facturado!F2:F100000,AK17,Detalle_facturado!W2:W100000)</f>
        <v>436.489612405</v>
      </c>
      <c r="AM17" s="8">
        <f>RANK(AL17,$AL$13:$AL$76,0)+COUNTIF($AL$13:AL17,AL17)-1</f>
        <v>45</v>
      </c>
      <c r="AO17" s="8" t="s">
        <v>96</v>
      </c>
      <c r="AP17" s="8">
        <f>SUMIF(Detalle_facturado!AB2:AB100000,AO17,Detalle_facturado!W2:W100000)</f>
        <v>3371362.1955144969</v>
      </c>
      <c r="AQ17" s="8">
        <f>RANK(AP17,$AP$13:$AP$34,0)+COUNTIF($AP$13:AP17,AP17)-1</f>
        <v>4</v>
      </c>
      <c r="AS17" s="8" t="s">
        <v>97</v>
      </c>
      <c r="AT17" s="8">
        <f>SUMIF(Detalle_facturado!D2:D100000,AS17,Detalle_facturado!W2:W100000)</f>
        <v>941534.90177679446</v>
      </c>
      <c r="AY17" s="9">
        <f>IF(AY16&lt;INT(MAX(Detalle_facturado!A2:A100000)),AY16+1,NA())</f>
        <v>46232</v>
      </c>
      <c r="AZ17" s="8">
        <f>IF(ISNA(AY17),NA(),SUMIFS(Detalle_facturado!W2:W100000,Detalle_facturado!A2:A100000,"&gt;="&amp;AY17,Detalle_facturado!A2:A100000,"&lt;"&amp;AY17+1))</f>
        <v>2586464.8397641494</v>
      </c>
      <c r="BA17" s="8">
        <f>IF(ISNA(AY17),NA(),SUMIFS(Detalle_facturado!T2:T100000,Detalle_facturado!A2:A100000,"&gt;="&amp;AY17,Detalle_facturado!A2:A100000,"&lt;"&amp;AY17+1))</f>
        <v>2237074.6354868351</v>
      </c>
      <c r="BC17" s="8" t="s">
        <v>98</v>
      </c>
      <c r="BD17" s="8">
        <f>SUMIF(Detalle_facturado!F2:F100000,BF17,Detalle_facturado!T2:T100000)</f>
        <v>436.489612405</v>
      </c>
      <c r="BE17" s="8">
        <f>SUMIF(Detalle_facturado!F2:F100000,BF17,Detalle_facturado!V2:V100000)</f>
        <v>0</v>
      </c>
      <c r="BF17" s="8" t="s">
        <v>95</v>
      </c>
      <c r="BH17" s="8" t="str">
        <f t="shared" si="6"/>
        <v>Base de datos</v>
      </c>
      <c r="BI17" s="8">
        <f>SUMIF(Detalle_facturado!AB2:AB100000,BH17,Detalle_facturado!T2:T100000)</f>
        <v>2873413.6992064477</v>
      </c>
      <c r="BJ17" s="8">
        <f>SUMIF(Detalle_facturado!AB2:AB100000,BH17,Detalle_facturado!V2:V100000)</f>
        <v>0</v>
      </c>
      <c r="BL17" s="8" t="str">
        <f t="shared" si="7"/>
        <v>ADRES - PROD - Shared Resources</v>
      </c>
      <c r="BM17" s="8" t="e">
        <f>IF(SUMIFS(Detalle_facturado!W2:W100000,Detalle_facturado!D2:D100000,BL17,Detalle_facturado!Q2:Q100000,"Procesamiento")=0,NA(),SUMIFS(Detalle_facturado!W2:W100000,Detalle_facturado!D2:D100000,BL17,Detalle_facturado!Q2:Q100000,"Procesamiento"))</f>
        <v>#N/A</v>
      </c>
      <c r="BN17" s="8">
        <f>IF(SUMIFS(Detalle_facturado!W2:W100000,Detalle_facturado!D2:D100000,BL17,Detalle_facturado!Q2:Q100000,"Plataforma - Producción y Soporte")=0,NA(),SUMIFS(Detalle_facturado!W2:W100000,Detalle_facturado!D2:D100000,BL17,Detalle_facturado!Q2:Q100000,"Plataforma - Producción y Soporte"))</f>
        <v>941534.90177679446</v>
      </c>
      <c r="BO17" s="8" t="e">
        <f>IF(SUMIFS(Detalle_facturado!W2:W100000,Detalle_facturado!D2:D100000,BL17,Detalle_facturado!Q2:Q100000,"Plataforma - Ambiente de Pruebas")=0,NA(),SUMIFS(Detalle_facturado!W2:W100000,Detalle_facturado!D2:D100000,BL17,Detalle_facturado!Q2:Q100000,"Plataforma - Ambiente de Pruebas"))</f>
        <v>#N/A</v>
      </c>
      <c r="BQ17" s="9">
        <f t="shared" si="8"/>
        <v>46232</v>
      </c>
      <c r="BR17" s="8">
        <f>SUMIFS(Detalle_facturado!T2:T100000,Detalle_facturado!A2:A100000,"&gt;="&amp;BQ17,Detalle_facturado!A2:A100000,"&lt;"&amp;BQ17+1,Detalle_facturado!Q2:Q100000,"Procesamiento")</f>
        <v>459723.95299645071</v>
      </c>
      <c r="BS17" s="8">
        <f>SUMIFS(Detalle_facturado!T2:T100000,Detalle_facturado!A2:A100000,"&gt;="&amp;BQ17,Detalle_facturado!A2:A100000,"&lt;"&amp;BQ17+1,Detalle_facturado!Q2:Q100000,"Plataforma - Producción y Soporte")</f>
        <v>304430.69212100754</v>
      </c>
      <c r="BT17" s="8">
        <f>SUMIFS(Detalle_facturado!T2:T100000,Detalle_facturado!A2:A100000,"&gt;="&amp;BQ17,Detalle_facturado!A2:A100000,"&lt;"&amp;BQ17+1,Detalle_facturado!Q2:Q100000,"Plataforma - Ambiente de Pruebas")</f>
        <v>1472919.9903693695</v>
      </c>
    </row>
    <row r="18" spans="21:72">
      <c r="X18" s="28">
        <f>+X16-X17</f>
        <v>225843750</v>
      </c>
      <c r="AA18" s="28">
        <v>0</v>
      </c>
      <c r="AD18" s="28">
        <v>0</v>
      </c>
      <c r="AK18" s="8" t="s">
        <v>99</v>
      </c>
      <c r="AL18" s="8">
        <f>SUMIF(Detalle_facturado!F2:F100000,AK18,Detalle_facturado!W2:W100000)</f>
        <v>1.6265462000000001E-2</v>
      </c>
      <c r="AM18" s="8">
        <f>RANK(AL18,$AL$13:$AL$76,0)+COUNTIF($AL$13:AL18,AL18)-1</f>
        <v>60</v>
      </c>
      <c r="AO18" s="8" t="s">
        <v>100</v>
      </c>
      <c r="AP18" s="8">
        <f>SUMIF(Detalle_facturado!AB2:AB100000,AO18,Detalle_facturado!W2:W100000)</f>
        <v>186615.91350454258</v>
      </c>
      <c r="AQ18" s="8">
        <f>RANK(AP18,$AP$13:$AP$34,0)+COUNTIF($AP$13:AP18,AP18)-1</f>
        <v>12</v>
      </c>
      <c r="AS18" s="8" t="s">
        <v>101</v>
      </c>
      <c r="AT18" s="8">
        <f>SUMIF(Detalle_facturado!D2:D100000,AS18,Detalle_facturado!W2:W100000)</f>
        <v>796086.97331476153</v>
      </c>
      <c r="AY18" s="9">
        <f>IF(AY17&lt;INT(MAX(Detalle_facturado!A2:A100000)),AY17+1,NA())</f>
        <v>46233</v>
      </c>
      <c r="AZ18" s="8">
        <f>IF(ISNA(AY18),NA(),SUMIFS(Detalle_facturado!W2:W100000,Detalle_facturado!A2:A100000,"&gt;="&amp;AY18,Detalle_facturado!A2:A100000,"&lt;"&amp;AY18+1))</f>
        <v>1306421.1608515754</v>
      </c>
      <c r="BA18" s="8">
        <f>IF(ISNA(AY18),NA(),SUMIFS(Detalle_facturado!T2:T100000,Detalle_facturado!A2:A100000,"&gt;="&amp;AY18,Detalle_facturado!A2:A100000,"&lt;"&amp;AY18+1))</f>
        <v>1306384.782648155</v>
      </c>
      <c r="BH18" s="8" t="str">
        <f t="shared" si="6"/>
        <v>Operaciones y gestion</v>
      </c>
      <c r="BI18" s="8">
        <f>SUMIF(Detalle_facturado!AB2:AB100000,BH18,Detalle_facturado!T2:T100000)</f>
        <v>1725418.3072412801</v>
      </c>
      <c r="BJ18" s="8">
        <f>SUMIF(Detalle_facturado!AB2:AB100000,BH18,Detalle_facturado!V2:V100000)</f>
        <v>0</v>
      </c>
      <c r="BL18" s="8" t="str">
        <f t="shared" si="7"/>
        <v>ADRES - PROD - Networking</v>
      </c>
      <c r="BM18" s="8" t="e">
        <f>IF(SUMIFS(Detalle_facturado!W2:W100000,Detalle_facturado!D2:D100000,BL18,Detalle_facturado!Q2:Q100000,"Procesamiento")=0,NA(),SUMIFS(Detalle_facturado!W2:W100000,Detalle_facturado!D2:D100000,BL18,Detalle_facturado!Q2:Q100000,"Procesamiento"))</f>
        <v>#N/A</v>
      </c>
      <c r="BN18" s="8">
        <f>IF(SUMIFS(Detalle_facturado!W2:W100000,Detalle_facturado!D2:D100000,BL18,Detalle_facturado!Q2:Q100000,"Plataforma - Producción y Soporte")=0,NA(),SUMIFS(Detalle_facturado!W2:W100000,Detalle_facturado!D2:D100000,BL18,Detalle_facturado!Q2:Q100000,"Plataforma - Producción y Soporte"))</f>
        <v>796086.97331476153</v>
      </c>
      <c r="BO18" s="8" t="e">
        <f>IF(SUMIFS(Detalle_facturado!W2:W100000,Detalle_facturado!D2:D100000,BL18,Detalle_facturado!Q2:Q100000,"Plataforma - Ambiente de Pruebas")=0,NA(),SUMIFS(Detalle_facturado!W2:W100000,Detalle_facturado!D2:D100000,BL18,Detalle_facturado!Q2:Q100000,"Plataforma - Ambiente de Pruebas"))</f>
        <v>#N/A</v>
      </c>
      <c r="BQ18" s="9">
        <f t="shared" si="8"/>
        <v>46233</v>
      </c>
      <c r="BR18" s="8">
        <f>SUMIFS(Detalle_facturado!T2:T100000,Detalle_facturado!A2:A100000,"&gt;="&amp;BQ18,Detalle_facturado!A2:A100000,"&lt;"&amp;BQ18+1,Detalle_facturado!Q2:Q100000,"Procesamiento")</f>
        <v>47.866057132031997</v>
      </c>
      <c r="BS18" s="8">
        <f>SUMIFS(Detalle_facturado!T2:T100000,Detalle_facturado!A2:A100000,"&gt;="&amp;BQ18,Detalle_facturado!A2:A100000,"&lt;"&amp;BQ18+1,Detalle_facturado!Q2:Q100000,"Plataforma - Producción y Soporte")</f>
        <v>306817.87021825783</v>
      </c>
      <c r="BT18" s="8">
        <f>SUMIFS(Detalle_facturado!T2:T100000,Detalle_facturado!A2:A100000,"&gt;="&amp;BQ18,Detalle_facturado!A2:A100000,"&lt;"&amp;BQ18+1,Detalle_facturado!Q2:Q100000,"Plataforma - Ambiente de Pruebas")</f>
        <v>999519.04637276498</v>
      </c>
    </row>
    <row r="19" spans="21:72">
      <c r="W19" t="s">
        <v>102</v>
      </c>
      <c r="X19" s="24">
        <f>+X18*35%</f>
        <v>79045312.5</v>
      </c>
      <c r="AA19" s="24">
        <f>+AA18*35%</f>
        <v>0</v>
      </c>
      <c r="AD19" s="24">
        <f>+AD18*35%</f>
        <v>0</v>
      </c>
      <c r="AK19" s="8" t="s">
        <v>103</v>
      </c>
      <c r="AL19" s="8">
        <f>SUMIF(Detalle_facturado!F2:F100000,AK19,Detalle_facturado!W2:W100000)</f>
        <v>453629.13083075569</v>
      </c>
      <c r="AM19" s="8">
        <f>RANK(AL19,$AL$13:$AL$76,0)+COUNTIF($AL$13:AL19,AL19)-1</f>
        <v>16</v>
      </c>
      <c r="AO19" s="8" t="s">
        <v>104</v>
      </c>
      <c r="AP19" s="8">
        <f>SUMIF(Detalle_facturado!AB2:AB100000,AO19,Detalle_facturado!W2:W100000)</f>
        <v>428349.89636029152</v>
      </c>
      <c r="AQ19" s="8">
        <f>RANK(AP19,$AP$13:$AP$34,0)+COUNTIF($AP$13:AP19,AP19)-1</f>
        <v>11</v>
      </c>
      <c r="AS19" s="8" t="s">
        <v>105</v>
      </c>
      <c r="AT19" s="8">
        <f>SUMIF(Detalle_facturado!D2:D100000,AS19,Detalle_facturado!W2:W100000)</f>
        <v>65891.64579654696</v>
      </c>
      <c r="AY19" s="9">
        <f>IF(AY18&lt;INT(MAX(Detalle_facturado!A2:A100000)),AY18+1,NA())</f>
        <v>46234</v>
      </c>
      <c r="AZ19" s="8">
        <f>IF(ISNA(AY19),NA(),SUMIFS(Detalle_facturado!W2:W100000,Detalle_facturado!A2:A100000,"&gt;="&amp;AY19,Detalle_facturado!A2:A100000,"&lt;"&amp;AY19+1))</f>
        <v>1069543.817534274</v>
      </c>
      <c r="BA19" s="8">
        <f>IF(ISNA(AY19),NA(),SUMIFS(Detalle_facturado!T2:T100000,Detalle_facturado!A2:A100000,"&gt;="&amp;AY19,Detalle_facturado!A2:A100000,"&lt;"&amp;AY19+1))</f>
        <v>1069507.661457354</v>
      </c>
      <c r="BH19" s="8" t="str">
        <f t="shared" si="6"/>
        <v>Observabilidad</v>
      </c>
      <c r="BI19" s="8">
        <f>SUMIF(Detalle_facturado!AB2:AB100000,BH19,Detalle_facturado!T2:T100000)</f>
        <v>1644557.0425337316</v>
      </c>
      <c r="BJ19" s="8">
        <f>SUMIF(Detalle_facturado!AB2:AB100000,BH19,Detalle_facturado!V2:V100000)</f>
        <v>1.4913694353683207</v>
      </c>
      <c r="BL19" s="8" t="str">
        <f t="shared" si="7"/>
        <v>ADRES - PROD - Tooling</v>
      </c>
      <c r="BM19" s="8" t="e">
        <f>IF(SUMIFS(Detalle_facturado!W2:W100000,Detalle_facturado!D2:D100000,BL19,Detalle_facturado!Q2:Q100000,"Procesamiento")=0,NA(),SUMIFS(Detalle_facturado!W2:W100000,Detalle_facturado!D2:D100000,BL19,Detalle_facturado!Q2:Q100000,"Procesamiento"))</f>
        <v>#N/A</v>
      </c>
      <c r="BN19" s="8">
        <f>IF(SUMIFS(Detalle_facturado!W2:W100000,Detalle_facturado!D2:D100000,BL19,Detalle_facturado!Q2:Q100000,"Plataforma - Producción y Soporte")=0,NA(),SUMIFS(Detalle_facturado!W2:W100000,Detalle_facturado!D2:D100000,BL19,Detalle_facturado!Q2:Q100000,"Plataforma - Producción y Soporte"))</f>
        <v>65891.64579654696</v>
      </c>
      <c r="BO19" s="8" t="e">
        <f>IF(SUMIFS(Detalle_facturado!W2:W100000,Detalle_facturado!D2:D100000,BL19,Detalle_facturado!Q2:Q100000,"Plataforma - Ambiente de Pruebas")=0,NA(),SUMIFS(Detalle_facturado!W2:W100000,Detalle_facturado!D2:D100000,BL19,Detalle_facturado!Q2:Q100000,"Plataforma - Ambiente de Pruebas"))</f>
        <v>#N/A</v>
      </c>
      <c r="BQ19" s="9">
        <f t="shared" si="8"/>
        <v>46234</v>
      </c>
      <c r="BR19" s="8">
        <f>SUMIFS(Detalle_facturado!T2:T100000,Detalle_facturado!A2:A100000,"&gt;="&amp;BQ19,Detalle_facturado!A2:A100000,"&lt;"&amp;BQ19+1,Detalle_facturado!Q2:Q100000,"Procesamiento")</f>
        <v>47.573785421208001</v>
      </c>
      <c r="BS19" s="8">
        <f>SUMIFS(Detalle_facturado!T2:T100000,Detalle_facturado!A2:A100000,"&gt;="&amp;BQ19,Detalle_facturado!A2:A100000,"&lt;"&amp;BQ19+1,Detalle_facturado!Q2:Q100000,"Plataforma - Producción y Soporte")</f>
        <v>307605.06931298366</v>
      </c>
      <c r="BT19" s="8">
        <f>SUMIFS(Detalle_facturado!T2:T100000,Detalle_facturado!A2:A100000,"&gt;="&amp;BQ19,Detalle_facturado!A2:A100000,"&lt;"&amp;BQ19+1,Detalle_facturado!Q2:Q100000,"Plataforma - Ambiente de Pruebas")</f>
        <v>761855.01835895213</v>
      </c>
    </row>
    <row r="20" spans="21:72">
      <c r="W20" t="s">
        <v>106</v>
      </c>
      <c r="X20" s="24">
        <f>+X19/3</f>
        <v>26348437.5</v>
      </c>
      <c r="AA20" s="24">
        <f>+AA19/3</f>
        <v>0</v>
      </c>
      <c r="AD20" s="24">
        <f>+AD19/3</f>
        <v>0</v>
      </c>
      <c r="AK20" s="8" t="s">
        <v>107</v>
      </c>
      <c r="AL20" s="8">
        <f>SUMIF(Detalle_facturado!F2:F100000,AK20,Detalle_facturado!W2:W100000)</f>
        <v>5814352.4345865911</v>
      </c>
      <c r="AM20" s="8">
        <f>RANK(AL20,$AL$13:$AL$76,0)+COUNTIF($AL$13:AL20,AL20)-1</f>
        <v>4</v>
      </c>
      <c r="AO20" s="8" t="s">
        <v>108</v>
      </c>
      <c r="AP20" s="8">
        <f>SUMIF(Detalle_facturado!AB2:AB100000,AO20,Detalle_facturado!W2:W100000)</f>
        <v>113.62491673033193</v>
      </c>
      <c r="AQ20" s="8">
        <f>RANK(AP20,$AP$13:$AP$34,0)+COUNTIF($AP$13:AP20,AP20)-1</f>
        <v>21</v>
      </c>
      <c r="AS20" s="8" t="s">
        <v>109</v>
      </c>
      <c r="AT20" s="8">
        <f>SUMIF(Detalle_facturado!D2:D100000,AS20,Detalle_facturado!W2:W100000)</f>
        <v>444.53979307846345</v>
      </c>
      <c r="AY20" s="9">
        <f>IF(AY19&lt;INT(MAX(Detalle_facturado!A2:A100000)),AY19+1,NA())</f>
        <v>46235</v>
      </c>
      <c r="AZ20" s="8">
        <f>IF(ISNA(AY20),NA(),SUMIFS(Detalle_facturado!W2:W100000,Detalle_facturado!A2:A100000,"&gt;="&amp;AY20,Detalle_facturado!A2:A100000,"&lt;"&amp;AY20+1))</f>
        <v>21798038.288210291</v>
      </c>
      <c r="BA20" s="8">
        <f>IF(ISNA(AY20),NA(),SUMIFS(Detalle_facturado!T2:T100000,Detalle_facturado!A2:A100000,"&gt;="&amp;AY20,Detalle_facturado!A2:A100000,"&lt;"&amp;AY20+1))</f>
        <v>21798003.663083471</v>
      </c>
      <c r="BH20" s="8" t="str">
        <f t="shared" si="6"/>
        <v>Seguridad</v>
      </c>
      <c r="BI20" s="8">
        <f>SUMIF(Detalle_facturado!AB2:AB100000,BH20,Detalle_facturado!T2:T100000)</f>
        <v>1559771.2203427898</v>
      </c>
      <c r="BJ20" s="8">
        <f>SUMIF(Detalle_facturado!AB2:AB100000,BH20,Detalle_facturado!V2:V100000)</f>
        <v>0</v>
      </c>
      <c r="BL20" s="8" t="str">
        <f t="shared" si="7"/>
        <v>ADRES - PROD - Logs Archive</v>
      </c>
      <c r="BM20" s="8" t="e">
        <f>IF(SUMIFS(Detalle_facturado!W2:W100000,Detalle_facturado!D2:D100000,BL20,Detalle_facturado!Q2:Q100000,"Procesamiento")=0,NA(),SUMIFS(Detalle_facturado!W2:W100000,Detalle_facturado!D2:D100000,BL20,Detalle_facturado!Q2:Q100000,"Procesamiento"))</f>
        <v>#N/A</v>
      </c>
      <c r="BN20" s="8">
        <f>IF(SUMIFS(Detalle_facturado!W2:W100000,Detalle_facturado!D2:D100000,BL20,Detalle_facturado!Q2:Q100000,"Plataforma - Producción y Soporte")=0,NA(),SUMIFS(Detalle_facturado!W2:W100000,Detalle_facturado!D2:D100000,BL20,Detalle_facturado!Q2:Q100000,"Plataforma - Producción y Soporte"))</f>
        <v>444.53979307846345</v>
      </c>
      <c r="BO20" s="8" t="e">
        <f>IF(SUMIFS(Detalle_facturado!W2:W100000,Detalle_facturado!D2:D100000,BL20,Detalle_facturado!Q2:Q100000,"Plataforma - Ambiente de Pruebas")=0,NA(),SUMIFS(Detalle_facturado!W2:W100000,Detalle_facturado!D2:D100000,BL20,Detalle_facturado!Q2:Q100000,"Plataforma - Ambiente de Pruebas"))</f>
        <v>#N/A</v>
      </c>
      <c r="BQ20" s="9">
        <f t="shared" si="8"/>
        <v>46235</v>
      </c>
      <c r="BR20" s="8">
        <f>SUMIFS(Detalle_facturado!T2:T100000,Detalle_facturado!A2:A100000,"&gt;="&amp;BQ20,Detalle_facturado!A2:A100000,"&lt;"&amp;BQ20+1,Detalle_facturado!Q2:Q100000,"Procesamiento")</f>
        <v>45.559377400548001</v>
      </c>
      <c r="BS20" s="8">
        <f>SUMIFS(Detalle_facturado!T2:T100000,Detalle_facturado!A2:A100000,"&gt;="&amp;BQ20,Detalle_facturado!A2:A100000,"&lt;"&amp;BQ20+1,Detalle_facturado!Q2:Q100000,"Plataforma - Producción y Soporte")</f>
        <v>21167421.712412756</v>
      </c>
      <c r="BT20" s="8">
        <f>SUMIFS(Detalle_facturado!T2:T100000,Detalle_facturado!A2:A100000,"&gt;="&amp;BQ20,Detalle_facturado!A2:A100000,"&lt;"&amp;BQ20+1,Detalle_facturado!Q2:Q100000,"Plataforma - Ambiente de Pruebas")</f>
        <v>630536.39129347529</v>
      </c>
    </row>
    <row r="21" spans="21:72">
      <c r="AK21" s="8" t="s">
        <v>110</v>
      </c>
      <c r="AL21" s="8">
        <f>SUMIF(Detalle_facturado!F2:F100000,AK21,Detalle_facturado!W2:W100000)</f>
        <v>3462110.684088117</v>
      </c>
      <c r="AM21" s="8">
        <f>RANK(AL21,$AL$13:$AL$76,0)+COUNTIF($AL$13:AL21,AL21)-1</f>
        <v>5</v>
      </c>
      <c r="AO21" s="8" t="s">
        <v>111</v>
      </c>
      <c r="AP21" s="8">
        <f>SUMIF(Detalle_facturado!AB2:AB100000,AO21,Detalle_facturado!W2:W100000)</f>
        <v>8397938.4288560618</v>
      </c>
      <c r="AQ21" s="8">
        <f>RANK(AP21,$AP$13:$AP$34,0)+COUNTIF($AP$13:AP21,AP21)-1</f>
        <v>3</v>
      </c>
      <c r="AY21" s="9">
        <f>IF(AY20&lt;INT(MAX(Detalle_facturado!A2:A100000)),AY20+1,NA())</f>
        <v>46236</v>
      </c>
      <c r="AZ21" s="8">
        <f>IF(ISNA(AY21),NA(),SUMIFS(Detalle_facturado!W2:W100000,Detalle_facturado!A2:A100000,"&gt;="&amp;AY21,Detalle_facturado!A2:A100000,"&lt;"&amp;AY21+1))</f>
        <v>856858.09891750838</v>
      </c>
      <c r="BA21" s="8">
        <f>IF(ISNA(AY21),NA(),SUMIFS(Detalle_facturado!T2:T100000,Detalle_facturado!A2:A100000,"&gt;="&amp;AY21,Detalle_facturado!A2:A100000,"&lt;"&amp;AY21+1))</f>
        <v>856824.12564665498</v>
      </c>
      <c r="BH21" s="8" t="str">
        <f t="shared" si="6"/>
        <v>Networking</v>
      </c>
      <c r="BI21" s="8">
        <f>SUMIF(Detalle_facturado!AB2:AB100000,BH21,Detalle_facturado!T2:T100000)</f>
        <v>1404203.5920505133</v>
      </c>
      <c r="BJ21" s="8">
        <f>SUMIF(Detalle_facturado!AB2:AB100000,BH21,Detalle_facturado!V2:V100000)</f>
        <v>5.2434703607545599</v>
      </c>
      <c r="BQ21" s="9">
        <f t="shared" si="8"/>
        <v>46236</v>
      </c>
      <c r="BR21" s="8">
        <f>SUMIFS(Detalle_facturado!T2:T100000,Detalle_facturado!A2:A100000,"&gt;="&amp;BQ21,Detalle_facturado!A2:A100000,"&lt;"&amp;BQ21+1,Detalle_facturado!Q2:Q100000,"Procesamiento")</f>
        <v>44.701672175587994</v>
      </c>
      <c r="BS21" s="8">
        <f>SUMIFS(Detalle_facturado!T2:T100000,Detalle_facturado!A2:A100000,"&gt;="&amp;BQ21,Detalle_facturado!A2:A100000,"&lt;"&amp;BQ21+1,Detalle_facturado!Q2:Q100000,"Plataforma - Producción y Soporte")</f>
        <v>265368.18700359657</v>
      </c>
      <c r="BT21" s="8">
        <f>SUMIFS(Detalle_facturado!T2:T100000,Detalle_facturado!A2:A100000,"&gt;="&amp;BQ21,Detalle_facturado!A2:A100000,"&lt;"&amp;BQ21+1,Detalle_facturado!Q2:Q100000,"Plataforma - Ambiente de Pruebas")</f>
        <v>591411.23697088519</v>
      </c>
    </row>
    <row r="22" spans="21:72">
      <c r="AK22" s="8" t="s">
        <v>112</v>
      </c>
      <c r="AL22" s="8">
        <f>SUMIF(Detalle_facturado!F2:F100000,AK22,Detalle_facturado!W2:W100000)</f>
        <v>115221.42576244513</v>
      </c>
      <c r="AM22" s="8">
        <f>RANK(AL22,$AL$13:$AL$76,0)+COUNTIF($AL$13:AL22,AL22)-1</f>
        <v>25</v>
      </c>
      <c r="AO22" s="8" t="s">
        <v>113</v>
      </c>
      <c r="AP22" s="8">
        <f>SUMIF(Detalle_facturado!AB2:AB100000,AO22,Detalle_facturado!W2:W100000)</f>
        <v>1814.6941406048243</v>
      </c>
      <c r="AQ22" s="8">
        <f>RANK(AP22,$AP$13:$AP$34,0)+COUNTIF($AP$13:AP22,AP22)-1</f>
        <v>19</v>
      </c>
      <c r="AY22" s="9">
        <f>IF(AY21&lt;INT(MAX(Detalle_facturado!A2:A100000)),AY21+1,NA())</f>
        <v>46237</v>
      </c>
      <c r="AZ22" s="8">
        <f>IF(ISNA(AY22),NA(),SUMIFS(Detalle_facturado!W2:W100000,Detalle_facturado!A2:A100000,"&gt;="&amp;AY22,Detalle_facturado!A2:A100000,"&lt;"&amp;AY22+1))</f>
        <v>1116258.7539967597</v>
      </c>
      <c r="BA22" s="8">
        <f>IF(ISNA(AY22),NA(),SUMIFS(Detalle_facturado!T2:T100000,Detalle_facturado!A2:A100000,"&gt;="&amp;AY22,Detalle_facturado!A2:A100000,"&lt;"&amp;AY22+1))</f>
        <v>1116223.4972597347</v>
      </c>
      <c r="BH22" s="8" t="str">
        <f t="shared" si="6"/>
        <v>Gobierno y cumplimiento</v>
      </c>
      <c r="BI22" s="8">
        <f>SUMIF(Detalle_facturado!AB2:AB100000,BH22,Detalle_facturado!T2:T100000)</f>
        <v>1029176.0908800003</v>
      </c>
      <c r="BJ22" s="8">
        <f>SUMIF(Detalle_facturado!AB2:AB100000,BH22,Detalle_facturado!V2:V100000)</f>
        <v>0</v>
      </c>
      <c r="BQ22" s="9">
        <f t="shared" si="8"/>
        <v>46237</v>
      </c>
      <c r="BR22" s="8">
        <f>SUMIFS(Detalle_facturado!T2:T100000,Detalle_facturado!A2:A100000,"&gt;="&amp;BQ22,Detalle_facturado!A2:A100000,"&lt;"&amp;BQ22+1,Detalle_facturado!Q2:Q100000,"Procesamiento")</f>
        <v>46.390443453911999</v>
      </c>
      <c r="BS22" s="8">
        <f>SUMIFS(Detalle_facturado!T2:T100000,Detalle_facturado!A2:A100000,"&gt;="&amp;BQ22,Detalle_facturado!A2:A100000,"&lt;"&amp;BQ22+1,Detalle_facturado!Q2:Q100000,"Plataforma - Producción y Soporte")</f>
        <v>297980.15931230946</v>
      </c>
      <c r="BT22" s="8">
        <f>SUMIFS(Detalle_facturado!T2:T100000,Detalle_facturado!A2:A100000,"&gt;="&amp;BQ22,Detalle_facturado!A2:A100000,"&lt;"&amp;BQ22+1,Detalle_facturado!Q2:Q100000,"Plataforma - Ambiente de Pruebas")</f>
        <v>818196.94750397152</v>
      </c>
    </row>
    <row r="23" spans="21:72">
      <c r="AK23" s="8" t="s">
        <v>114</v>
      </c>
      <c r="AL23" s="8">
        <f>SUMIF(Detalle_facturado!F2:F100000,AK23,Detalle_facturado!W2:W100000)</f>
        <v>7183.922058298177</v>
      </c>
      <c r="AM23" s="8">
        <f>RANK(AL23,$AL$13:$AL$76,0)+COUNTIF($AL$13:AL23,AL23)-1</f>
        <v>36</v>
      </c>
      <c r="AO23" s="8" t="s">
        <v>115</v>
      </c>
      <c r="AP23" s="8">
        <f>SUMIF(Detalle_facturado!AB2:AB100000,AO23,Detalle_facturado!W2:W100000)</f>
        <v>122977.63889039947</v>
      </c>
      <c r="AQ23" s="8">
        <f>RANK(AP23,$AP$13:$AP$34,0)+COUNTIF($AP$13:AP23,AP23)-1</f>
        <v>14</v>
      </c>
      <c r="AY23" s="9">
        <f>IF(AY22&lt;INT(MAX(Detalle_facturado!A2:A100000)),AY22+1,NA())</f>
        <v>46238</v>
      </c>
      <c r="AZ23" s="8">
        <f>IF(ISNA(AY23),NA(),SUMIFS(Detalle_facturado!W2:W100000,Detalle_facturado!A2:A100000,"&gt;="&amp;AY23,Detalle_facturado!A2:A100000,"&lt;"&amp;AY23+1))</f>
        <v>3003591.5823105066</v>
      </c>
      <c r="BA23" s="8">
        <f>IF(ISNA(AY23),NA(),SUMIFS(Detalle_facturado!T2:T100000,Detalle_facturado!A2:A100000,"&gt;="&amp;AY23,Detalle_facturado!A2:A100000,"&lt;"&amp;AY23+1))</f>
        <v>3003554.7341897017</v>
      </c>
      <c r="BQ23" s="9">
        <f t="shared" si="8"/>
        <v>46238</v>
      </c>
      <c r="BR23" s="8">
        <f>SUMIFS(Detalle_facturado!T2:T100000,Detalle_facturado!A2:A100000,"&gt;="&amp;BQ23,Detalle_facturado!A2:A100000,"&lt;"&amp;BQ23+1,Detalle_facturado!Q2:Q100000,"Procesamiento")</f>
        <v>48.484369480371996</v>
      </c>
      <c r="BS23" s="8">
        <f>SUMIFS(Detalle_facturado!T2:T100000,Detalle_facturado!A2:A100000,"&gt;="&amp;BQ23,Detalle_facturado!A2:A100000,"&lt;"&amp;BQ23+1,Detalle_facturado!Q2:Q100000,"Plataforma - Producción y Soporte")</f>
        <v>286854.62780588237</v>
      </c>
      <c r="BT23" s="8">
        <f>SUMIFS(Detalle_facturado!T2:T100000,Detalle_facturado!A2:A100000,"&gt;="&amp;BQ23,Detalle_facturado!A2:A100000,"&lt;"&amp;BQ23+1,Detalle_facturado!Q2:Q100000,"Plataforma - Ambiente de Pruebas")</f>
        <v>2716651.6220143358</v>
      </c>
    </row>
    <row r="24" spans="21:72">
      <c r="AK24" s="8" t="s">
        <v>116</v>
      </c>
      <c r="AL24" s="8">
        <f>SUMIF(Detalle_facturado!F2:F100000,AK24,Detalle_facturado!W2:W100000)</f>
        <v>2663512.2779829581</v>
      </c>
      <c r="AM24" s="8">
        <f>RANK(AL24,$AL$13:$AL$76,0)+COUNTIF($AL$13:AL24,AL24)-1</f>
        <v>7</v>
      </c>
      <c r="AO24" s="8" t="s">
        <v>117</v>
      </c>
      <c r="AP24" s="8">
        <f>SUMIF(Detalle_facturado!AB2:AB100000,AO24,Detalle_facturado!W2:W100000)</f>
        <v>23076.298537744195</v>
      </c>
      <c r="AQ24" s="8">
        <f>RANK(AP24,$AP$13:$AP$34,0)+COUNTIF($AP$13:AP24,AP24)-1</f>
        <v>17</v>
      </c>
      <c r="AY24" s="9">
        <f>IF(AY23&lt;INT(MAX(Detalle_facturado!A2:A100000)),AY23+1,NA())</f>
        <v>46239</v>
      </c>
      <c r="AZ24" s="8">
        <f>IF(ISNA(AY24),NA(),SUMIFS(Detalle_facturado!W2:W100000,Detalle_facturado!A2:A100000,"&gt;="&amp;AY24,Detalle_facturado!A2:A100000,"&lt;"&amp;AY24+1))</f>
        <v>1874773.1706581654</v>
      </c>
      <c r="BA24" s="8">
        <f>IF(ISNA(AY24),NA(),SUMIFS(Detalle_facturado!T2:T100000,Detalle_facturado!A2:A100000,"&gt;="&amp;AY24,Detalle_facturado!A2:A100000,"&lt;"&amp;AY24+1))</f>
        <v>1874739.7176045233</v>
      </c>
      <c r="BQ24" s="9">
        <f t="shared" si="8"/>
        <v>46239</v>
      </c>
      <c r="BR24" s="8">
        <f>SUMIFS(Detalle_facturado!T2:T100000,Detalle_facturado!A2:A100000,"&gt;="&amp;BQ24,Detalle_facturado!A2:A100000,"&lt;"&amp;BQ24+1,Detalle_facturado!Q2:Q100000,"Procesamiento")</f>
        <v>44.017175845127994</v>
      </c>
      <c r="BS24" s="8">
        <f>SUMIFS(Detalle_facturado!T2:T100000,Detalle_facturado!A2:A100000,"&gt;="&amp;BQ24,Detalle_facturado!A2:A100000,"&lt;"&amp;BQ24+1,Detalle_facturado!Q2:Q100000,"Plataforma - Producción y Soporte")</f>
        <v>291381.24944554351</v>
      </c>
      <c r="BT24" s="8">
        <f>SUMIFS(Detalle_facturado!T2:T100000,Detalle_facturado!A2:A100000,"&gt;="&amp;BQ24,Detalle_facturado!A2:A100000,"&lt;"&amp;BQ24+1,Detalle_facturado!Q2:Q100000,"Plataforma - Ambiente de Pruebas")</f>
        <v>1583314.4509831336</v>
      </c>
    </row>
    <row r="25" spans="21:72">
      <c r="AK25" s="8" t="s">
        <v>118</v>
      </c>
      <c r="AL25" s="8">
        <f>SUMIF(Detalle_facturado!F2:F100000,AK25,Detalle_facturado!W2:W100000)</f>
        <v>209901.42122350971</v>
      </c>
      <c r="AM25" s="8">
        <f>RANK(AL25,$AL$13:$AL$76,0)+COUNTIF($AL$13:AL25,AL25)-1</f>
        <v>18</v>
      </c>
      <c r="AO25" s="8" t="s">
        <v>119</v>
      </c>
      <c r="AP25" s="8">
        <f>SUMIF(Detalle_facturado!AB2:AB100000,AO25,Detalle_facturado!W2:W100000)</f>
        <v>1404208.8355208738</v>
      </c>
      <c r="AQ25" s="8">
        <f>RANK(AP25,$AP$13:$AP$34,0)+COUNTIF($AP$13:AP25,AP25)-1</f>
        <v>9</v>
      </c>
      <c r="AY25" s="9">
        <f>IF(AY24&lt;INT(MAX(Detalle_facturado!A2:A100000)),AY24+1,NA())</f>
        <v>46240</v>
      </c>
      <c r="AZ25" s="8">
        <f>IF(ISNA(AY25),NA(),SUMIFS(Detalle_facturado!W2:W100000,Detalle_facturado!A2:A100000,"&gt;="&amp;AY25,Detalle_facturado!A2:A100000,"&lt;"&amp;AY25+1))</f>
        <v>1624977.1009326626</v>
      </c>
      <c r="BA25" s="8">
        <f>IF(ISNA(AY25),NA(),SUMIFS(Detalle_facturado!T2:T100000,Detalle_facturado!A2:A100000,"&gt;="&amp;AY25,Detalle_facturado!A2:A100000,"&lt;"&amp;AY25+1))</f>
        <v>1624967.7509977522</v>
      </c>
      <c r="BQ25" s="9">
        <f t="shared" si="8"/>
        <v>46240</v>
      </c>
      <c r="BR25" s="8">
        <f>SUMIFS(Detalle_facturado!T2:T100000,Detalle_facturado!A2:A100000,"&gt;="&amp;BQ25,Detalle_facturado!A2:A100000,"&lt;"&amp;BQ25+1,Detalle_facturado!Q2:Q100000,"Procesamiento")</f>
        <v>12.302545934868</v>
      </c>
      <c r="BS25" s="8">
        <f>SUMIFS(Detalle_facturado!T2:T100000,Detalle_facturado!A2:A100000,"&gt;="&amp;BQ25,Detalle_facturado!A2:A100000,"&lt;"&amp;BQ25+1,Detalle_facturado!Q2:Q100000,"Plataforma - Producción y Soporte")</f>
        <v>260690.00403208841</v>
      </c>
      <c r="BT25" s="8">
        <f>SUMIFS(Detalle_facturado!T2:T100000,Detalle_facturado!A2:A100000,"&gt;="&amp;BQ25,Detalle_facturado!A2:A100000,"&lt;"&amp;BQ25+1,Detalle_facturado!Q2:Q100000,"Plataforma - Ambiente de Pruebas")</f>
        <v>1364265.4444197298</v>
      </c>
    </row>
    <row r="26" spans="21:72">
      <c r="AK26" s="8" t="s">
        <v>120</v>
      </c>
      <c r="AL26" s="8">
        <f>SUMIF(Detalle_facturado!F2:F100000,AK26,Detalle_facturado!W2:W100000)</f>
        <v>3371362.1955144969</v>
      </c>
      <c r="AM26" s="8">
        <f>RANK(AL26,$AL$13:$AL$76,0)+COUNTIF($AL$13:AL26,AL26)-1</f>
        <v>6</v>
      </c>
      <c r="AO26" s="8" t="s">
        <v>121</v>
      </c>
      <c r="AP26" s="8">
        <f>SUMIF(Detalle_facturado!AB2:AB100000,AO26,Detalle_facturado!W2:W100000)</f>
        <v>1559771.2203427898</v>
      </c>
      <c r="AQ26" s="8">
        <f>RANK(AP26,$AP$13:$AP$34,0)+COUNTIF($AP$13:AP26,AP26)-1</f>
        <v>8</v>
      </c>
      <c r="AY26" s="9">
        <f>IF(AY25&lt;INT(MAX(Detalle_facturado!A2:A100000)),AY25+1,NA())</f>
        <v>46241</v>
      </c>
      <c r="AZ26" s="8">
        <f>IF(ISNA(AY26),NA(),SUMIFS(Detalle_facturado!W2:W100000,Detalle_facturado!A2:A100000,"&gt;="&amp;AY26,Detalle_facturado!A2:A100000,"&lt;"&amp;AY26+1))</f>
        <v>837758.62186523539</v>
      </c>
      <c r="BA26" s="8">
        <f>IF(ISNA(AY26),NA(),SUMIFS(Detalle_facturado!T2:T100000,Detalle_facturado!A2:A100000,"&gt;="&amp;AY26,Detalle_facturado!A2:A100000,"&lt;"&amp;AY26+1))</f>
        <v>837758.62186523539</v>
      </c>
      <c r="BQ26" s="9">
        <f t="shared" si="8"/>
        <v>46241</v>
      </c>
      <c r="BR26" s="8">
        <f>SUMIFS(Detalle_facturado!T2:T100000,Detalle_facturado!A2:A100000,"&gt;="&amp;BQ26,Detalle_facturado!A2:A100000,"&lt;"&amp;BQ26+1,Detalle_facturado!Q2:Q100000,"Procesamiento")</f>
        <v>0</v>
      </c>
      <c r="BS26" s="8">
        <f>SUMIFS(Detalle_facturado!T2:T100000,Detalle_facturado!A2:A100000,"&gt;="&amp;BQ26,Detalle_facturado!A2:A100000,"&lt;"&amp;BQ26+1,Detalle_facturado!Q2:Q100000,"Plataforma - Producción y Soporte")</f>
        <v>257023.72423744708</v>
      </c>
      <c r="BT26" s="8">
        <f>SUMIFS(Detalle_facturado!T2:T100000,Detalle_facturado!A2:A100000,"&gt;="&amp;BQ26,Detalle_facturado!A2:A100000,"&lt;"&amp;BQ26+1,Detalle_facturado!Q2:Q100000,"Plataforma - Ambiente de Pruebas")</f>
        <v>580734.89762779069</v>
      </c>
    </row>
    <row r="27" spans="21:72">
      <c r="AK27" s="8" t="s">
        <v>122</v>
      </c>
      <c r="AL27" s="8">
        <f>SUMIF(Detalle_facturado!F2:F100000,AK27,Detalle_facturado!W2:W100000)</f>
        <v>186615.91350454258</v>
      </c>
      <c r="AM27" s="8">
        <f>RANK(AL27,$AL$13:$AL$76,0)+COUNTIF($AL$13:AL27,AL27)-1</f>
        <v>19</v>
      </c>
      <c r="AO27" s="8" t="s">
        <v>123</v>
      </c>
      <c r="AP27" s="8">
        <f>SUMIF(Detalle_facturado!AB2:AB100000,AO27,Detalle_facturado!W2:W100000)</f>
        <v>1644558.5339031674</v>
      </c>
      <c r="AQ27" s="8">
        <f>RANK(AP27,$AP$13:$AP$34,0)+COUNTIF($AP$13:AP27,AP27)-1</f>
        <v>7</v>
      </c>
      <c r="AY27" s="9">
        <f>IF(AY26&lt;INT(MAX(Detalle_facturado!A2:A100000)),AY26+1,NA())</f>
        <v>46242</v>
      </c>
      <c r="AZ27" s="8">
        <f>IF(ISNA(AY27),NA(),SUMIFS(Detalle_facturado!W2:W100000,Detalle_facturado!A2:A100000,"&gt;="&amp;AY27,Detalle_facturado!A2:A100000,"&lt;"&amp;AY27+1))</f>
        <v>837279.59477567079</v>
      </c>
      <c r="BA27" s="8">
        <f>IF(ISNA(AY27),NA(),SUMIFS(Detalle_facturado!T2:T100000,Detalle_facturado!A2:A100000,"&gt;="&amp;AY27,Detalle_facturado!A2:A100000,"&lt;"&amp;AY27+1))</f>
        <v>837279.59477567079</v>
      </c>
      <c r="BQ27" s="9">
        <f t="shared" si="8"/>
        <v>46242</v>
      </c>
      <c r="BR27" s="8">
        <f>SUMIFS(Detalle_facturado!T2:T100000,Detalle_facturado!A2:A100000,"&gt;="&amp;BQ27,Detalle_facturado!A2:A100000,"&lt;"&amp;BQ27+1,Detalle_facturado!Q2:Q100000,"Procesamiento")</f>
        <v>0</v>
      </c>
      <c r="BS27" s="8">
        <f>SUMIFS(Detalle_facturado!T2:T100000,Detalle_facturado!A2:A100000,"&gt;="&amp;BQ27,Detalle_facturado!A2:A100000,"&lt;"&amp;BQ27+1,Detalle_facturado!Q2:Q100000,"Plataforma - Producción y Soporte")</f>
        <v>256758.43484500531</v>
      </c>
      <c r="BT27" s="8">
        <f>SUMIFS(Detalle_facturado!T2:T100000,Detalle_facturado!A2:A100000,"&gt;="&amp;BQ27,Detalle_facturado!A2:A100000,"&lt;"&amp;BQ27+1,Detalle_facturado!Q2:Q100000,"Plataforma - Ambiente de Pruebas")</f>
        <v>580521.15993066737</v>
      </c>
    </row>
    <row r="28" spans="21:72">
      <c r="AK28" s="8" t="s">
        <v>124</v>
      </c>
      <c r="AL28" s="8">
        <f>SUMIF(Detalle_facturado!F2:F100000,AK28,Detalle_facturado!W2:W100000)</f>
        <v>111734.08890429085</v>
      </c>
      <c r="AM28" s="8">
        <f>RANK(AL28,$AL$13:$AL$76,0)+COUNTIF($AL$13:AL28,AL28)-1</f>
        <v>27</v>
      </c>
      <c r="AO28" s="8" t="s">
        <v>125</v>
      </c>
      <c r="AP28" s="8">
        <f>SUMIF(Detalle_facturado!AB2:AB100000,AO28,Detalle_facturado!W2:W100000)</f>
        <v>1029176.0908800003</v>
      </c>
      <c r="AQ28" s="8">
        <f>RANK(AP28,$AP$13:$AP$34,0)+COUNTIF($AP$13:AP28,AP28)-1</f>
        <v>10</v>
      </c>
      <c r="AY28" s="9">
        <f>IF(AY27&lt;INT(MAX(Detalle_facturado!A2:A100000)),AY27+1,NA())</f>
        <v>46243</v>
      </c>
      <c r="AZ28" s="8">
        <f>IF(ISNA(AY28),NA(),SUMIFS(Detalle_facturado!W2:W100000,Detalle_facturado!A2:A100000,"&gt;="&amp;AY28,Detalle_facturado!A2:A100000,"&lt;"&amp;AY28+1))</f>
        <v>839204.96518217225</v>
      </c>
      <c r="BA28" s="8">
        <f>IF(ISNA(AY28),NA(),SUMIFS(Detalle_facturado!T2:T100000,Detalle_facturado!A2:A100000,"&gt;="&amp;AY28,Detalle_facturado!A2:A100000,"&lt;"&amp;AY28+1))</f>
        <v>839204.96518217225</v>
      </c>
      <c r="BQ28" s="9">
        <f t="shared" si="8"/>
        <v>46243</v>
      </c>
      <c r="BR28" s="8">
        <f>SUMIFS(Detalle_facturado!T2:T100000,Detalle_facturado!A2:A100000,"&gt;="&amp;BQ28,Detalle_facturado!A2:A100000,"&lt;"&amp;BQ28+1,Detalle_facturado!Q2:Q100000,"Procesamiento")</f>
        <v>0</v>
      </c>
      <c r="BS28" s="8">
        <f>SUMIFS(Detalle_facturado!T2:T100000,Detalle_facturado!A2:A100000,"&gt;="&amp;BQ28,Detalle_facturado!A2:A100000,"&lt;"&amp;BQ28+1,Detalle_facturado!Q2:Q100000,"Plataforma - Producción y Soporte")</f>
        <v>257826.92059022852</v>
      </c>
      <c r="BT28" s="8">
        <f>SUMIFS(Detalle_facturado!T2:T100000,Detalle_facturado!A2:A100000,"&gt;="&amp;BQ28,Detalle_facturado!A2:A100000,"&lt;"&amp;BQ28+1,Detalle_facturado!Q2:Q100000,"Plataforma - Ambiente de Pruebas")</f>
        <v>581378.04459194548</v>
      </c>
    </row>
    <row r="29" spans="21:72">
      <c r="AK29" s="8" t="s">
        <v>126</v>
      </c>
      <c r="AL29" s="8">
        <f>SUMIF(Detalle_facturado!F2:F100000,AK29,Detalle_facturado!W2:W100000)</f>
        <v>113.62491673033193</v>
      </c>
      <c r="AM29" s="8">
        <f>RANK(AL29,$AL$13:$AL$76,0)+COUNTIF($AL$13:AL29,AL29)-1</f>
        <v>51</v>
      </c>
      <c r="AO29" s="8" t="s">
        <v>127</v>
      </c>
      <c r="AP29" s="8">
        <f>SUMIF(Detalle_facturado!AB2:AB100000,AO29,Detalle_facturado!W2:W100000)</f>
        <v>1725418.3072412801</v>
      </c>
      <c r="AQ29" s="8">
        <f>RANK(AP29,$AP$13:$AP$34,0)+COUNTIF($AP$13:AP29,AP29)-1</f>
        <v>6</v>
      </c>
      <c r="AY29" s="9">
        <f>IF(AY28&lt;INT(MAX(Detalle_facturado!A2:A100000)),AY28+1,NA())</f>
        <v>46244</v>
      </c>
      <c r="AZ29" s="8">
        <f>IF(ISNA(AY29),NA(),SUMIFS(Detalle_facturado!W2:W100000,Detalle_facturado!A2:A100000,"&gt;="&amp;AY29,Detalle_facturado!A2:A100000,"&lt;"&amp;AY29+1))</f>
        <v>1024494.0490024135</v>
      </c>
      <c r="BA29" s="8">
        <f>IF(ISNA(AY29),NA(),SUMIFS(Detalle_facturado!T2:T100000,Detalle_facturado!A2:A100000,"&gt;="&amp;AY29,Detalle_facturado!A2:A100000,"&lt;"&amp;AY29+1))</f>
        <v>953976.52527474635</v>
      </c>
      <c r="BQ29" s="9">
        <f t="shared" si="8"/>
        <v>46244</v>
      </c>
      <c r="BR29" s="8">
        <f>SUMIFS(Detalle_facturado!T2:T100000,Detalle_facturado!A2:A100000,"&gt;="&amp;BQ29,Detalle_facturado!A2:A100000,"&lt;"&amp;BQ29+1,Detalle_facturado!Q2:Q100000,"Procesamiento")</f>
        <v>92786.215431140852</v>
      </c>
      <c r="BS29" s="8">
        <f>SUMIFS(Detalle_facturado!T2:T100000,Detalle_facturado!A2:A100000,"&gt;="&amp;BQ29,Detalle_facturado!A2:A100000,"&lt;"&amp;BQ29+1,Detalle_facturado!Q2:Q100000,"Plataforma - Producción y Soporte")</f>
        <v>260083.98290672898</v>
      </c>
      <c r="BT29" s="8">
        <f>SUMIFS(Detalle_facturado!T2:T100000,Detalle_facturado!A2:A100000,"&gt;="&amp;BQ29,Detalle_facturado!A2:A100000,"&lt;"&amp;BQ29+1,Detalle_facturado!Q2:Q100000,"Plataforma - Ambiente de Pruebas")</f>
        <v>601106.32693688106</v>
      </c>
    </row>
    <row r="30" spans="21:72">
      <c r="AK30" s="8" t="s">
        <v>128</v>
      </c>
      <c r="AL30" s="8">
        <f>SUMIF(Detalle_facturado!F2:F100000,AK30,Detalle_facturado!W2:W100000)</f>
        <v>8349505.4360853331</v>
      </c>
      <c r="AM30" s="8">
        <f>RANK(AL30,$AL$13:$AL$76,0)+COUNTIF($AL$13:AL30,AL30)-1</f>
        <v>3</v>
      </c>
      <c r="AO30" s="8" t="s">
        <v>129</v>
      </c>
      <c r="AP30" s="8">
        <f>SUMIF(Detalle_facturado!AB2:AB100000,AO30,Detalle_facturado!W2:W100000)</f>
        <v>31682.547215241164</v>
      </c>
      <c r="AQ30" s="8">
        <f>RANK(AP30,$AP$13:$AP$34,0)+COUNTIF($AP$13:AP30,AP30)-1</f>
        <v>16</v>
      </c>
      <c r="AY30" s="9">
        <f>IF(AY29&lt;INT(MAX(Detalle_facturado!A2:A100000)),AY29+1,NA())</f>
        <v>46245</v>
      </c>
      <c r="AZ30" s="8">
        <f>IF(ISNA(AY30),NA(),SUMIFS(Detalle_facturado!W2:W100000,Detalle_facturado!A2:A100000,"&gt;="&amp;AY30,Detalle_facturado!A2:A100000,"&lt;"&amp;AY30+1))</f>
        <v>14241325.764450226</v>
      </c>
      <c r="BA30" s="8">
        <f>IF(ISNA(AY30),NA(),SUMIFS(Detalle_facturado!T2:T100000,Detalle_facturado!A2:A100000,"&gt;="&amp;AY30,Detalle_facturado!A2:A100000,"&lt;"&amp;AY30+1))</f>
        <v>8624500.0762798972</v>
      </c>
      <c r="BQ30" s="9">
        <f t="shared" si="8"/>
        <v>46245</v>
      </c>
      <c r="BR30" s="8">
        <f>SUMIFS(Detalle_facturado!T2:T100000,Detalle_facturado!A2:A100000,"&gt;="&amp;BQ30,Detalle_facturado!A2:A100000,"&lt;"&amp;BQ30+1,Detalle_facturado!Q2:Q100000,"Procesamiento")</f>
        <v>7390560.1160135278</v>
      </c>
      <c r="BS30" s="8">
        <f>SUMIFS(Detalle_facturado!T2:T100000,Detalle_facturado!A2:A100000,"&gt;="&amp;BQ30,Detalle_facturado!A2:A100000,"&lt;"&amp;BQ30+1,Detalle_facturado!Q2:Q100000,"Plataforma - Producción y Soporte")</f>
        <v>501263.41621970176</v>
      </c>
      <c r="BT30" s="8">
        <f>SUMIFS(Detalle_facturado!T2:T100000,Detalle_facturado!A2:A100000,"&gt;="&amp;BQ30,Detalle_facturado!A2:A100000,"&lt;"&amp;BQ30+1,Detalle_facturado!Q2:Q100000,"Plataforma - Ambiente de Pruebas")</f>
        <v>732676.5440466461</v>
      </c>
    </row>
    <row r="31" spans="21:72">
      <c r="AK31" s="8" t="s">
        <v>130</v>
      </c>
      <c r="AL31" s="8">
        <f>SUMIF(Detalle_facturado!F2:F100000,AK31,Detalle_facturado!W2:W100000)</f>
        <v>3785.2288686000002</v>
      </c>
      <c r="AM31" s="8">
        <f>RANK(AL31,$AL$13:$AL$76,0)+COUNTIF($AL$13:AL31,AL31)-1</f>
        <v>39</v>
      </c>
      <c r="AO31" s="8" t="s">
        <v>131</v>
      </c>
      <c r="AP31" s="8">
        <f>SUMIF(Detalle_facturado!AB2:AB100000,AO31,Detalle_facturado!W2:W100000)</f>
        <v>132056.07016823205</v>
      </c>
      <c r="AQ31" s="8">
        <f>RANK(AP31,$AP$13:$AP$34,0)+COUNTIF($AP$13:AP31,AP31)-1</f>
        <v>13</v>
      </c>
      <c r="AY31" s="9">
        <f>IF(AY30&lt;INT(MAX(Detalle_facturado!A2:A100000)),AY30+1,NA())</f>
        <v>46246</v>
      </c>
      <c r="AZ31" s="8">
        <f>IF(ISNA(AY31),NA(),SUMIFS(Detalle_facturado!W2:W100000,Detalle_facturado!A2:A100000,"&gt;="&amp;AY31,Detalle_facturado!A2:A100000,"&lt;"&amp;AY31+1))</f>
        <v>2517428.6070825504</v>
      </c>
      <c r="BA31" s="8">
        <f>IF(ISNA(AY31),NA(),SUMIFS(Detalle_facturado!T2:T100000,Detalle_facturado!A2:A100000,"&gt;="&amp;AY31,Detalle_facturado!A2:A100000,"&lt;"&amp;AY31+1))</f>
        <v>1851121.4495353734</v>
      </c>
      <c r="BQ31" s="9">
        <f t="shared" si="8"/>
        <v>46246</v>
      </c>
      <c r="BR31" s="8">
        <f>SUMIFS(Detalle_facturado!T2:T100000,Detalle_facturado!A2:A100000,"&gt;="&amp;BQ31,Detalle_facturado!A2:A100000,"&lt;"&amp;BQ31+1,Detalle_facturado!Q2:Q100000,"Procesamiento")</f>
        <v>876719.94414100633</v>
      </c>
      <c r="BS31" s="8">
        <f>SUMIFS(Detalle_facturado!T2:T100000,Detalle_facturado!A2:A100000,"&gt;="&amp;BQ31,Detalle_facturado!A2:A100000,"&lt;"&amp;BQ31+1,Detalle_facturado!Q2:Q100000,"Plataforma - Producción y Soporte")</f>
        <v>274913.55667385017</v>
      </c>
      <c r="BT31" s="8">
        <f>SUMIFS(Detalle_facturado!T2:T100000,Detalle_facturado!A2:A100000,"&gt;="&amp;BQ31,Detalle_facturado!A2:A100000,"&lt;"&amp;BQ31+1,Detalle_facturado!Q2:Q100000,"Plataforma - Ambiente de Pruebas")</f>
        <v>699487.94872050325</v>
      </c>
    </row>
    <row r="32" spans="21:72">
      <c r="AK32" s="8" t="s">
        <v>132</v>
      </c>
      <c r="AL32" s="8">
        <f>SUMIF(Detalle_facturado!F2:F100000,AK32,Detalle_facturado!W2:W100000)</f>
        <v>44647.763902121675</v>
      </c>
      <c r="AM32" s="8">
        <f>RANK(AL32,$AL$13:$AL$76,0)+COUNTIF($AL$13:AL32,AL32)-1</f>
        <v>31</v>
      </c>
      <c r="AO32" s="8" t="s">
        <v>133</v>
      </c>
      <c r="AP32" s="8">
        <f>SUMIF(Detalle_facturado!AB2:AB100000,AO32,Detalle_facturado!W2:W100000)</f>
        <v>452.95642181772803</v>
      </c>
      <c r="AQ32" s="8">
        <f>RANK(AP32,$AP$13:$AP$34,0)+COUNTIF($AP$13:AP32,AP32)-1</f>
        <v>20</v>
      </c>
      <c r="AY32" s="9">
        <f>IF(AY31&lt;INT(MAX(Detalle_facturado!A2:A100000)),AY31+1,NA())</f>
        <v>46247</v>
      </c>
      <c r="AZ32" s="8">
        <f>IF(ISNA(AY32),NA(),SUMIFS(Detalle_facturado!W2:W100000,Detalle_facturado!A2:A100000,"&gt;="&amp;AY32,Detalle_facturado!A2:A100000,"&lt;"&amp;AY32+1))</f>
        <v>1405042.3175863479</v>
      </c>
      <c r="BA32" s="8">
        <f>IF(ISNA(AY32),NA(),SUMIFS(Detalle_facturado!T2:T100000,Detalle_facturado!A2:A100000,"&gt;="&amp;AY32,Detalle_facturado!A2:A100000,"&lt;"&amp;AY32+1))</f>
        <v>1368924.1053399432</v>
      </c>
      <c r="BQ32" s="9">
        <f t="shared" si="8"/>
        <v>46247</v>
      </c>
      <c r="BR32" s="8">
        <f>SUMIFS(Detalle_facturado!T2:T100000,Detalle_facturado!A2:A100000,"&gt;="&amp;BQ32,Detalle_facturado!A2:A100000,"&lt;"&amp;BQ32+1,Detalle_facturado!Q2:Q100000,"Procesamiento")</f>
        <v>47523.963482111707</v>
      </c>
      <c r="BS32" s="8">
        <f>SUMIFS(Detalle_facturado!T2:T100000,Detalle_facturado!A2:A100000,"&gt;="&amp;BQ32,Detalle_facturado!A2:A100000,"&lt;"&amp;BQ32+1,Detalle_facturado!Q2:Q100000,"Plataforma - Producción y Soporte")</f>
        <v>725140.83896689198</v>
      </c>
      <c r="BT32" s="8">
        <f>SUMIFS(Detalle_facturado!T2:T100000,Detalle_facturado!A2:A100000,"&gt;="&amp;BQ32,Detalle_facturado!A2:A100000,"&lt;"&amp;BQ32+1,Detalle_facturado!Q2:Q100000,"Plataforma - Ambiente de Pruebas")</f>
        <v>596259.30289094197</v>
      </c>
    </row>
    <row r="33" spans="37:72">
      <c r="AK33" s="8" t="s">
        <v>134</v>
      </c>
      <c r="AL33" s="8">
        <f>SUMIF(Detalle_facturado!F2:F100000,AK33,Detalle_facturado!W2:W100000)</f>
        <v>1814.6941406048243</v>
      </c>
      <c r="AM33" s="8">
        <f>RANK(AL33,$AL$13:$AL$76,0)+COUNTIF($AL$13:AL33,AL33)-1</f>
        <v>43</v>
      </c>
      <c r="AO33" s="8" t="s">
        <v>135</v>
      </c>
      <c r="AP33" s="8">
        <f>SUMIF(Detalle_facturado!AB2:AB100000,AO33,Detalle_facturado!W2:W100000)</f>
        <v>20895270.413999997</v>
      </c>
      <c r="AQ33" s="8">
        <f>RANK(AP33,$AP$13:$AP$34,0)+COUNTIF($AP$13:AP33,AP33)-1</f>
        <v>2</v>
      </c>
      <c r="AY33" s="9">
        <f>IF(AY32&lt;INT(MAX(Detalle_facturado!A2:A100000)),AY32+1,NA())</f>
        <v>46248</v>
      </c>
      <c r="AZ33" s="8">
        <f>IF(ISNA(AY33),NA(),SUMIFS(Detalle_facturado!W2:W100000,Detalle_facturado!A2:A100000,"&gt;="&amp;AY33,Detalle_facturado!A2:A100000,"&lt;"&amp;AY33+1))</f>
        <v>70049349.473083675</v>
      </c>
      <c r="BA33" s="8">
        <f>IF(ISNA(AY33),NA(),SUMIFS(Detalle_facturado!T2:T100000,Detalle_facturado!A2:A100000,"&gt;="&amp;AY33,Detalle_facturado!A2:A100000,"&lt;"&amp;AY33+1))</f>
        <v>40413286.596696071</v>
      </c>
      <c r="BQ33" s="9">
        <f t="shared" si="8"/>
        <v>46248</v>
      </c>
      <c r="BR33" s="8">
        <f>SUMIFS(Detalle_facturado!T2:T100000,Detalle_facturado!A2:A100000,"&gt;="&amp;BQ33,Detalle_facturado!A2:A100000,"&lt;"&amp;BQ33+1,Detalle_facturado!Q2:Q100000,"Procesamiento")</f>
        <v>38994819.574193358</v>
      </c>
      <c r="BS33" s="8">
        <f>SUMIFS(Detalle_facturado!T2:T100000,Detalle_facturado!A2:A100000,"&gt;="&amp;BQ33,Detalle_facturado!A2:A100000,"&lt;"&amp;BQ33+1,Detalle_facturado!Q2:Q100000,"Plataforma - Producción y Soporte")</f>
        <v>827503.17334631854</v>
      </c>
      <c r="BT33" s="8">
        <f>SUMIFS(Detalle_facturado!T2:T100000,Detalle_facturado!A2:A100000,"&gt;="&amp;BQ33,Detalle_facturado!A2:A100000,"&lt;"&amp;BQ33+1,Detalle_facturado!Q2:Q100000,"Plataforma - Ambiente de Pruebas")</f>
        <v>590963.84915645025</v>
      </c>
    </row>
    <row r="34" spans="37:72">
      <c r="AK34" s="8" t="s">
        <v>136</v>
      </c>
      <c r="AL34" s="8">
        <f>SUMIF(Detalle_facturado!F2:F100000,AK34,Detalle_facturado!W2:W100000)</f>
        <v>119304.42239999991</v>
      </c>
      <c r="AM34" s="8">
        <f>RANK(AL34,$AL$13:$AL$76,0)+COUNTIF($AL$13:AL34,AL34)-1</f>
        <v>24</v>
      </c>
      <c r="AO34" s="8" t="s">
        <v>137</v>
      </c>
      <c r="AP34" s="8">
        <f>SUMIF(Detalle_facturado!AB2:AB100000,AO34,Detalle_facturado!W2:W100000)</f>
        <v>59652.211199999954</v>
      </c>
      <c r="AQ34" s="8">
        <f>RANK(AP34,$AP$13:$AP$34,0)+COUNTIF($AP$13:AP34,AP34)-1</f>
        <v>15</v>
      </c>
      <c r="AY34" s="9">
        <f>IF(AY33&lt;INT(MAX(Detalle_facturado!A2:A100000)),AY33+1,NA())</f>
        <v>46249</v>
      </c>
      <c r="AZ34" s="8">
        <f>IF(ISNA(AY34),NA(),SUMIFS(Detalle_facturado!W2:W100000,Detalle_facturado!A2:A100000,"&gt;="&amp;AY34,Detalle_facturado!A2:A100000,"&lt;"&amp;AY34+1))</f>
        <v>836458.36382579815</v>
      </c>
      <c r="BA34" s="8">
        <f>IF(ISNA(AY34),NA(),SUMIFS(Detalle_facturado!T2:T100000,Detalle_facturado!A2:A100000,"&gt;="&amp;AY34,Detalle_facturado!A2:A100000,"&lt;"&amp;AY34+1))</f>
        <v>836458.36382579815</v>
      </c>
      <c r="BQ34" s="9">
        <f t="shared" si="8"/>
        <v>46249</v>
      </c>
      <c r="BR34" s="8">
        <f>SUMIFS(Detalle_facturado!T2:T100000,Detalle_facturado!A2:A100000,"&gt;="&amp;BQ34,Detalle_facturado!A2:A100000,"&lt;"&amp;BQ34+1,Detalle_facturado!Q2:Q100000,"Procesamiento")</f>
        <v>0</v>
      </c>
      <c r="BS34" s="8">
        <f>SUMIFS(Detalle_facturado!T2:T100000,Detalle_facturado!A2:A100000,"&gt;="&amp;BQ34,Detalle_facturado!A2:A100000,"&lt;"&amp;BQ34+1,Detalle_facturado!Q2:Q100000,"Plataforma - Producción y Soporte")</f>
        <v>291484.62855184037</v>
      </c>
      <c r="BT34" s="8">
        <f>SUMIFS(Detalle_facturado!T2:T100000,Detalle_facturado!A2:A100000,"&gt;="&amp;BQ34,Detalle_facturado!A2:A100000,"&lt;"&amp;BQ34+1,Detalle_facturado!Q2:Q100000,"Plataforma - Ambiente de Pruebas")</f>
        <v>544973.73527395749</v>
      </c>
    </row>
    <row r="35" spans="37:72">
      <c r="AK35" s="8" t="s">
        <v>138</v>
      </c>
      <c r="AL35" s="8">
        <f>SUMIF(Detalle_facturado!F2:F100000,AK35,Detalle_facturado!W2:W100000)</f>
        <v>3673.2164903999842</v>
      </c>
      <c r="AM35" s="8">
        <f>RANK(AL35,$AL$13:$AL$76,0)+COUNTIF($AL$13:AL35,AL35)-1</f>
        <v>40</v>
      </c>
      <c r="AY35" s="9">
        <f>IF(AY34&lt;INT(MAX(Detalle_facturado!A2:A100000)),AY34+1,NA())</f>
        <v>46250</v>
      </c>
      <c r="AZ35" s="8">
        <f>IF(ISNA(AY35),NA(),SUMIFS(Detalle_facturado!W2:W100000,Detalle_facturado!A2:A100000,"&gt;="&amp;AY35,Detalle_facturado!A2:A100000,"&lt;"&amp;AY35+1))</f>
        <v>3927624.027667759</v>
      </c>
      <c r="BA35" s="8">
        <f>IF(ISNA(AY35),NA(),SUMIFS(Detalle_facturado!T2:T100000,Detalle_facturado!A2:A100000,"&gt;="&amp;AY35,Detalle_facturado!A2:A100000,"&lt;"&amp;AY35+1))</f>
        <v>2642018.0884980904</v>
      </c>
      <c r="BQ35" s="9">
        <f t="shared" si="8"/>
        <v>46250</v>
      </c>
      <c r="BR35" s="8">
        <f>SUMIFS(Detalle_facturado!T2:T100000,Detalle_facturado!A2:A100000,"&gt;="&amp;BQ35,Detalle_facturado!A2:A100000,"&lt;"&amp;BQ35+1,Detalle_facturado!Q2:Q100000,"Procesamiento")</f>
        <v>1691586.7620653543</v>
      </c>
      <c r="BS35" s="8">
        <f>SUMIFS(Detalle_facturado!T2:T100000,Detalle_facturado!A2:A100000,"&gt;="&amp;BQ35,Detalle_facturado!A2:A100000,"&lt;"&amp;BQ35+1,Detalle_facturado!Q2:Q100000,"Plataforma - Producción y Soporte")</f>
        <v>405638.53014206386</v>
      </c>
      <c r="BT35" s="8">
        <f>SUMIFS(Detalle_facturado!T2:T100000,Detalle_facturado!A2:A100000,"&gt;="&amp;BQ35,Detalle_facturado!A2:A100000,"&lt;"&amp;BQ35+1,Detalle_facturado!Q2:Q100000,"Plataforma - Ambiente de Pruebas")</f>
        <v>544792.7962906512</v>
      </c>
    </row>
    <row r="36" spans="37:72">
      <c r="AK36" s="8" t="s">
        <v>139</v>
      </c>
      <c r="AL36" s="8">
        <f>SUMIF(Detalle_facturado!F2:F100000,AK36,Detalle_facturado!W2:W100000)</f>
        <v>23076.289765360198</v>
      </c>
      <c r="AM36" s="8">
        <f>RANK(AL36,$AL$13:$AL$76,0)+COUNTIF($AL$13:AL36,AL36)-1</f>
        <v>33</v>
      </c>
      <c r="AY36" s="9">
        <f>IF(AY35&lt;INT(MAX(Detalle_facturado!A2:A100000)),AY35+1,NA())</f>
        <v>46251</v>
      </c>
      <c r="AZ36" s="8">
        <f>IF(ISNA(AY36),NA(),SUMIFS(Detalle_facturado!W2:W100000,Detalle_facturado!A2:A100000,"&gt;="&amp;AY36,Detalle_facturado!A2:A100000,"&lt;"&amp;AY36+1))</f>
        <v>912496.3867704618</v>
      </c>
      <c r="BA36" s="8">
        <f>IF(ISNA(AY36),NA(),SUMIFS(Detalle_facturado!T2:T100000,Detalle_facturado!A2:A100000,"&gt;="&amp;AY36,Detalle_facturado!A2:A100000,"&lt;"&amp;AY36+1))</f>
        <v>895879.86622414854</v>
      </c>
      <c r="BQ36" s="9">
        <f t="shared" si="8"/>
        <v>46251</v>
      </c>
      <c r="BR36" s="8">
        <f>SUMIFS(Detalle_facturado!T2:T100000,Detalle_facturado!A2:A100000,"&gt;="&amp;BQ36,Detalle_facturado!A2:A100000,"&lt;"&amp;BQ36+1,Detalle_facturado!Q2:Q100000,"Procesamiento")</f>
        <v>21863.842824097621</v>
      </c>
      <c r="BS36" s="8">
        <f>SUMIFS(Detalle_facturado!T2:T100000,Detalle_facturado!A2:A100000,"&gt;="&amp;BQ36,Detalle_facturado!A2:A100000,"&lt;"&amp;BQ36+1,Detalle_facturado!Q2:Q100000,"Plataforma - Producción y Soporte")</f>
        <v>329595.16260440793</v>
      </c>
      <c r="BT36" s="8">
        <f>SUMIFS(Detalle_facturado!T2:T100000,Detalle_facturado!A2:A100000,"&gt;="&amp;BQ36,Detalle_facturado!A2:A100000,"&lt;"&amp;BQ36+1,Detalle_facturado!Q2:Q100000,"Plataforma - Ambiente de Pruebas")</f>
        <v>544420.86079564574</v>
      </c>
    </row>
    <row r="37" spans="37:72">
      <c r="AK37" s="8" t="s">
        <v>140</v>
      </c>
      <c r="AL37" s="8">
        <f>SUMIF(Detalle_facturado!F2:F100000,AK37,Detalle_facturado!W2:W100000)</f>
        <v>8.7723839999999994E-3</v>
      </c>
      <c r="AM37" s="8">
        <f>RANK(AL37,$AL$13:$AL$76,0)+COUNTIF($AL$13:AL37,AL37)-1</f>
        <v>62</v>
      </c>
      <c r="AY37" s="9">
        <f>IF(AY36&lt;INT(MAX(Detalle_facturado!A2:A100000)),AY36+1,NA())</f>
        <v>46252</v>
      </c>
      <c r="AZ37" s="8">
        <f>IF(ISNA(AY37),NA(),SUMIFS(Detalle_facturado!W2:W100000,Detalle_facturado!A2:A100000,"&gt;="&amp;AY37,Detalle_facturado!A2:A100000,"&lt;"&amp;AY37+1))</f>
        <v>892746.09697851131</v>
      </c>
      <c r="BA37" s="8">
        <f>IF(ISNA(AY37),NA(),SUMIFS(Detalle_facturado!T2:T100000,Detalle_facturado!A2:A100000,"&gt;="&amp;AY37,Detalle_facturado!A2:A100000,"&lt;"&amp;AY37+1))</f>
        <v>892746.09697851131</v>
      </c>
      <c r="BQ37" s="9">
        <f t="shared" si="8"/>
        <v>46252</v>
      </c>
      <c r="BR37" s="8">
        <f>SUMIFS(Detalle_facturado!T2:T100000,Detalle_facturado!A2:A100000,"&gt;="&amp;BQ37,Detalle_facturado!A2:A100000,"&lt;"&amp;BQ37+1,Detalle_facturado!Q2:Q100000,"Procesamiento")</f>
        <v>0</v>
      </c>
      <c r="BS37" s="8">
        <f>SUMIFS(Detalle_facturado!T2:T100000,Detalle_facturado!A2:A100000,"&gt;="&amp;BQ37,Detalle_facturado!A2:A100000,"&lt;"&amp;BQ37+1,Detalle_facturado!Q2:Q100000,"Plataforma - Producción y Soporte")</f>
        <v>343380.74334211019</v>
      </c>
      <c r="BT37" s="8">
        <f>SUMIFS(Detalle_facturado!T2:T100000,Detalle_facturado!A2:A100000,"&gt;="&amp;BQ37,Detalle_facturado!A2:A100000,"&lt;"&amp;BQ37+1,Detalle_facturado!Q2:Q100000,"Plataforma - Ambiente de Pruebas")</f>
        <v>549365.35363640438</v>
      </c>
    </row>
    <row r="38" spans="37:72">
      <c r="AK38" s="8" t="s">
        <v>141</v>
      </c>
      <c r="AL38" s="8">
        <f>SUMIF(Detalle_facturado!F2:F100000,AK38,Detalle_facturado!W2:W100000)</f>
        <v>3262.1498864799992</v>
      </c>
      <c r="AM38" s="8">
        <f>RANK(AL38,$AL$13:$AL$76,0)+COUNTIF($AL$13:AL38,AL38)-1</f>
        <v>41</v>
      </c>
      <c r="AY38" s="9">
        <f>IF(AY37&lt;INT(MAX(Detalle_facturado!A2:A100000)),AY37+1,NA())</f>
        <v>46253</v>
      </c>
      <c r="AZ38" s="8">
        <f>IF(ISNA(AY38),NA(),SUMIFS(Detalle_facturado!W2:W100000,Detalle_facturado!A2:A100000,"&gt;="&amp;AY38,Detalle_facturado!A2:A100000,"&lt;"&amp;AY38+1))</f>
        <v>882576.38944291347</v>
      </c>
      <c r="BA38" s="8">
        <f>IF(ISNA(AY38),NA(),SUMIFS(Detalle_facturado!T2:T100000,Detalle_facturado!A2:A100000,"&gt;="&amp;AY38,Detalle_facturado!A2:A100000,"&lt;"&amp;AY38+1))</f>
        <v>882576.38944291347</v>
      </c>
      <c r="BQ38" s="9">
        <f t="shared" si="8"/>
        <v>46253</v>
      </c>
      <c r="BR38" s="8">
        <f>SUMIFS(Detalle_facturado!T2:T100000,Detalle_facturado!A2:A100000,"&gt;="&amp;BQ38,Detalle_facturado!A2:A100000,"&lt;"&amp;BQ38+1,Detalle_facturado!Q2:Q100000,"Procesamiento")</f>
        <v>0</v>
      </c>
      <c r="BS38" s="8">
        <f>SUMIFS(Detalle_facturado!T2:T100000,Detalle_facturado!A2:A100000,"&gt;="&amp;BQ38,Detalle_facturado!A2:A100000,"&lt;"&amp;BQ38+1,Detalle_facturado!Q2:Q100000,"Plataforma - Producción y Soporte")</f>
        <v>336638.65646939195</v>
      </c>
      <c r="BT38" s="8">
        <f>SUMIFS(Detalle_facturado!T2:T100000,Detalle_facturado!A2:A100000,"&gt;="&amp;BQ38,Detalle_facturado!A2:A100000,"&lt;"&amp;BQ38+1,Detalle_facturado!Q2:Q100000,"Plataforma - Ambiente de Pruebas")</f>
        <v>545937.73297352379</v>
      </c>
    </row>
    <row r="39" spans="37:72">
      <c r="AK39" s="8" t="s">
        <v>142</v>
      </c>
      <c r="AL39" s="8">
        <f>SUMIF(Detalle_facturado!F2:F100000,AK39,Detalle_facturado!W2:W100000)</f>
        <v>901633.70879511768</v>
      </c>
      <c r="AM39" s="8">
        <f>RANK(AL39,$AL$13:$AL$76,0)+COUNTIF($AL$13:AL39,AL39)-1</f>
        <v>14</v>
      </c>
      <c r="AY39" s="9">
        <f>IF(AY38&lt;INT(MAX(Detalle_facturado!A2:A100000)),AY38+1,NA())</f>
        <v>46254</v>
      </c>
      <c r="AZ39" s="8">
        <f>IF(ISNA(AY39),NA(),SUMIFS(Detalle_facturado!W2:W100000,Detalle_facturado!A2:A100000,"&gt;="&amp;AY39,Detalle_facturado!A2:A100000,"&lt;"&amp;AY39+1))</f>
        <v>888944.07902248413</v>
      </c>
      <c r="BA39" s="8">
        <f>IF(ISNA(AY39),NA(),SUMIFS(Detalle_facturado!T2:T100000,Detalle_facturado!A2:A100000,"&gt;="&amp;AY39,Detalle_facturado!A2:A100000,"&lt;"&amp;AY39+1))</f>
        <v>888944.07902248413</v>
      </c>
      <c r="BQ39" s="9">
        <f t="shared" si="8"/>
        <v>46254</v>
      </c>
      <c r="BR39" s="8">
        <f>SUMIFS(Detalle_facturado!T2:T100000,Detalle_facturado!A2:A100000,"&gt;="&amp;BQ39,Detalle_facturado!A2:A100000,"&lt;"&amp;BQ39+1,Detalle_facturado!Q2:Q100000,"Procesamiento")</f>
        <v>0</v>
      </c>
      <c r="BS39" s="8">
        <f>SUMIFS(Detalle_facturado!T2:T100000,Detalle_facturado!A2:A100000,"&gt;="&amp;BQ39,Detalle_facturado!A2:A100000,"&lt;"&amp;BQ39+1,Detalle_facturado!Q2:Q100000,"Plataforma - Producción y Soporte")</f>
        <v>342899.14390701224</v>
      </c>
      <c r="BT39" s="8">
        <f>SUMIFS(Detalle_facturado!T2:T100000,Detalle_facturado!A2:A100000,"&gt;="&amp;BQ39,Detalle_facturado!A2:A100000,"&lt;"&amp;BQ39+1,Detalle_facturado!Q2:Q100000,"Plataforma - Ambiente de Pruebas")</f>
        <v>546044.93511547614</v>
      </c>
    </row>
    <row r="40" spans="37:72">
      <c r="AK40" s="8" t="s">
        <v>143</v>
      </c>
      <c r="AL40" s="8">
        <f>SUMIF(Detalle_facturado!F2:F100000,AK40,Detalle_facturado!W2:W100000)</f>
        <v>463939.21351408411</v>
      </c>
      <c r="AM40" s="8">
        <f>RANK(AL40,$AL$13:$AL$76,0)+COUNTIF($AL$13:AL40,AL40)-1</f>
        <v>15</v>
      </c>
      <c r="AY40" s="9">
        <f>IF(AY39&lt;INT(MAX(Detalle_facturado!A2:A100000)),AY39+1,NA())</f>
        <v>46255</v>
      </c>
      <c r="AZ40" s="8">
        <f>IF(ISNA(AY40),NA(),SUMIFS(Detalle_facturado!W2:W100000,Detalle_facturado!A2:A100000,"&gt;="&amp;AY40,Detalle_facturado!A2:A100000,"&lt;"&amp;AY40+1))</f>
        <v>1460310.3956479449</v>
      </c>
      <c r="BA40" s="8">
        <f>IF(ISNA(AY40),NA(),SUMIFS(Detalle_facturado!T2:T100000,Detalle_facturado!A2:A100000,"&gt;="&amp;AY40,Detalle_facturado!A2:A100000,"&lt;"&amp;AY40+1))</f>
        <v>1460310.3956479449</v>
      </c>
      <c r="BQ40" s="9">
        <f t="shared" si="8"/>
        <v>46255</v>
      </c>
      <c r="BR40" s="8">
        <f>SUMIFS(Detalle_facturado!T2:T100000,Detalle_facturado!A2:A100000,"&gt;="&amp;BQ40,Detalle_facturado!A2:A100000,"&lt;"&amp;BQ40+1,Detalle_facturado!Q2:Q100000,"Procesamiento")</f>
        <v>0</v>
      </c>
      <c r="BS40" s="8">
        <f>SUMIFS(Detalle_facturado!T2:T100000,Detalle_facturado!A2:A100000,"&gt;="&amp;BQ40,Detalle_facturado!A2:A100000,"&lt;"&amp;BQ40+1,Detalle_facturado!Q2:Q100000,"Plataforma - Producción y Soporte")</f>
        <v>340352.81086729624</v>
      </c>
      <c r="BT40" s="8">
        <f>SUMIFS(Detalle_facturado!T2:T100000,Detalle_facturado!A2:A100000,"&gt;="&amp;BQ40,Detalle_facturado!A2:A100000,"&lt;"&amp;BQ40+1,Detalle_facturado!Q2:Q100000,"Plataforma - Ambiente de Pruebas")</f>
        <v>1119957.5847806523</v>
      </c>
    </row>
    <row r="41" spans="37:72">
      <c r="AK41" s="8" t="s">
        <v>144</v>
      </c>
      <c r="AL41" s="8">
        <f>SUMIF(Detalle_facturado!F2:F100000,AK41,Detalle_facturado!W2:W100000)</f>
        <v>14623.764430767998</v>
      </c>
      <c r="AM41" s="8">
        <f>RANK(AL41,$AL$13:$AL$76,0)+COUNTIF($AL$13:AL41,AL41)-1</f>
        <v>34</v>
      </c>
      <c r="AY41" s="9">
        <f>IF(AY40&lt;INT(MAX(Detalle_facturado!A2:A100000)),AY40+1,NA())</f>
        <v>46256</v>
      </c>
      <c r="AZ41" s="8">
        <f>IF(ISNA(AY41),NA(),SUMIFS(Detalle_facturado!W2:W100000,Detalle_facturado!A2:A100000,"&gt;="&amp;AY41,Detalle_facturado!A2:A100000,"&lt;"&amp;AY41+1))</f>
        <v>876459.09098883846</v>
      </c>
      <c r="BA41" s="8">
        <f>IF(ISNA(AY41),NA(),SUMIFS(Detalle_facturado!T2:T100000,Detalle_facturado!A2:A100000,"&gt;="&amp;AY41,Detalle_facturado!A2:A100000,"&lt;"&amp;AY41+1))</f>
        <v>876459.09098883846</v>
      </c>
      <c r="BQ41" s="9">
        <f t="shared" si="8"/>
        <v>46256</v>
      </c>
      <c r="BR41" s="8">
        <f>SUMIFS(Detalle_facturado!T2:T100000,Detalle_facturado!A2:A100000,"&gt;="&amp;BQ41,Detalle_facturado!A2:A100000,"&lt;"&amp;BQ41+1,Detalle_facturado!Q2:Q100000,"Procesamiento")</f>
        <v>0</v>
      </c>
      <c r="BS41" s="8">
        <f>SUMIFS(Detalle_facturado!T2:T100000,Detalle_facturado!A2:A100000,"&gt;="&amp;BQ41,Detalle_facturado!A2:A100000,"&lt;"&amp;BQ41+1,Detalle_facturado!Q2:Q100000,"Plataforma - Producción y Soporte")</f>
        <v>344300.94107919623</v>
      </c>
      <c r="BT41" s="8">
        <f>SUMIFS(Detalle_facturado!T2:T100000,Detalle_facturado!A2:A100000,"&gt;="&amp;BQ41,Detalle_facturado!A2:A100000,"&lt;"&amp;BQ41+1,Detalle_facturado!Q2:Q100000,"Plataforma - Ambiente de Pruebas")</f>
        <v>532158.14990964835</v>
      </c>
    </row>
    <row r="42" spans="37:72">
      <c r="AK42" s="8" t="s">
        <v>145</v>
      </c>
      <c r="AL42" s="8">
        <f>SUMIF(Detalle_facturado!F2:F100000,AK42,Detalle_facturado!W2:W100000)</f>
        <v>19.280636014923992</v>
      </c>
      <c r="AM42" s="8">
        <f>RANK(AL42,$AL$13:$AL$76,0)+COUNTIF($AL$13:AL42,AL42)-1</f>
        <v>55</v>
      </c>
      <c r="AY42" s="9">
        <f>IF(AY41&lt;INT(MAX(Detalle_facturado!A2:A100000)),AY41+1,NA())</f>
        <v>46257</v>
      </c>
      <c r="AZ42" s="8">
        <f>IF(ISNA(AY42),NA(),SUMIFS(Detalle_facturado!W2:W100000,Detalle_facturado!A2:A100000,"&gt;="&amp;AY42,Detalle_facturado!A2:A100000,"&lt;"&amp;AY42+1))</f>
        <v>862969.65013444982</v>
      </c>
      <c r="BA42" s="8">
        <f>IF(ISNA(AY42),NA(),SUMIFS(Detalle_facturado!T2:T100000,Detalle_facturado!A2:A100000,"&gt;="&amp;AY42,Detalle_facturado!A2:A100000,"&lt;"&amp;AY42+1))</f>
        <v>862969.65013444982</v>
      </c>
      <c r="BQ42" s="9">
        <f t="shared" si="8"/>
        <v>46257</v>
      </c>
      <c r="BR42" s="8">
        <f>SUMIFS(Detalle_facturado!T2:T100000,Detalle_facturado!A2:A100000,"&gt;="&amp;BQ42,Detalle_facturado!A2:A100000,"&lt;"&amp;BQ42+1,Detalle_facturado!Q2:Q100000,"Procesamiento")</f>
        <v>0</v>
      </c>
      <c r="BS42" s="8">
        <f>SUMIFS(Detalle_facturado!T2:T100000,Detalle_facturado!A2:A100000,"&gt;="&amp;BQ42,Detalle_facturado!A2:A100000,"&lt;"&amp;BQ42+1,Detalle_facturado!Q2:Q100000,"Plataforma - Producción y Soporte")</f>
        <v>344590.75536418019</v>
      </c>
      <c r="BT42" s="8">
        <f>SUMIFS(Detalle_facturado!T2:T100000,Detalle_facturado!A2:A100000,"&gt;="&amp;BQ42,Detalle_facturado!A2:A100000,"&lt;"&amp;BQ42+1,Detalle_facturado!Q2:Q100000,"Plataforma - Ambiente de Pruebas")</f>
        <v>518378.89477027697</v>
      </c>
    </row>
    <row r="43" spans="37:72">
      <c r="AK43" s="8" t="s">
        <v>146</v>
      </c>
      <c r="AL43" s="8">
        <f>SUMIF(Detalle_facturado!F2:F100000,AK43,Detalle_facturado!W2:W100000)</f>
        <v>12454.657678620224</v>
      </c>
      <c r="AM43" s="8">
        <f>RANK(AL43,$AL$13:$AL$76,0)+COUNTIF($AL$13:AL43,AL43)-1</f>
        <v>35</v>
      </c>
      <c r="AY43" s="9">
        <f>IF(AY42&lt;INT(MAX(Detalle_facturado!A2:A100000)),AY42+1,NA())</f>
        <v>46258</v>
      </c>
      <c r="AZ43" s="8">
        <f>IF(ISNA(AY43),NA(),SUMIFS(Detalle_facturado!W2:W100000,Detalle_facturado!A2:A100000,"&gt;="&amp;AY43,Detalle_facturado!A2:A100000,"&lt;"&amp;AY43+1))</f>
        <v>877909.59404196963</v>
      </c>
      <c r="BA43" s="8">
        <f>IF(ISNA(AY43),NA(),SUMIFS(Detalle_facturado!T2:T100000,Detalle_facturado!A2:A100000,"&gt;="&amp;AY43,Detalle_facturado!A2:A100000,"&lt;"&amp;AY43+1))</f>
        <v>877909.59404196963</v>
      </c>
      <c r="BQ43" s="9">
        <f t="shared" si="8"/>
        <v>46258</v>
      </c>
      <c r="BR43" s="8">
        <f>SUMIFS(Detalle_facturado!T2:T100000,Detalle_facturado!A2:A100000,"&gt;="&amp;BQ43,Detalle_facturado!A2:A100000,"&lt;"&amp;BQ43+1,Detalle_facturado!Q2:Q100000,"Procesamiento")</f>
        <v>0</v>
      </c>
      <c r="BS43" s="8">
        <f>SUMIFS(Detalle_facturado!T2:T100000,Detalle_facturado!A2:A100000,"&gt;="&amp;BQ43,Detalle_facturado!A2:A100000,"&lt;"&amp;BQ43+1,Detalle_facturado!Q2:Q100000,"Plataforma - Producción y Soporte")</f>
        <v>349688.89331243542</v>
      </c>
      <c r="BT43" s="8">
        <f>SUMIFS(Detalle_facturado!T2:T100000,Detalle_facturado!A2:A100000,"&gt;="&amp;BQ43,Detalle_facturado!A2:A100000,"&lt;"&amp;BQ43+1,Detalle_facturado!Q2:Q100000,"Plataforma - Ambiente de Pruebas")</f>
        <v>528220.7007295409</v>
      </c>
    </row>
    <row r="44" spans="37:72">
      <c r="AK44" s="8" t="s">
        <v>147</v>
      </c>
      <c r="AL44" s="8">
        <f>SUMIF(Detalle_facturado!F2:F100000,AK44,Detalle_facturado!W2:W100000)</f>
        <v>4004.5574180459885</v>
      </c>
      <c r="AM44" s="8">
        <f>RANK(AL44,$AL$13:$AL$76,0)+COUNTIF($AL$13:AL44,AL44)-1</f>
        <v>38</v>
      </c>
      <c r="AY44" s="9">
        <f>IF(AY43&lt;INT(MAX(Detalle_facturado!A2:A100000)),AY43+1,NA())</f>
        <v>46259</v>
      </c>
      <c r="AZ44" s="8">
        <f>IF(ISNA(AY44),NA(),SUMIFS(Detalle_facturado!W2:W100000,Detalle_facturado!A2:A100000,"&gt;="&amp;AY44,Detalle_facturado!A2:A100000,"&lt;"&amp;AY44+1))</f>
        <v>2217506.91985443</v>
      </c>
      <c r="BA44" s="8">
        <f>IF(ISNA(AY44),NA(),SUMIFS(Detalle_facturado!T2:T100000,Detalle_facturado!A2:A100000,"&gt;="&amp;AY44,Detalle_facturado!A2:A100000,"&lt;"&amp;AY44+1))</f>
        <v>2217492.5227362653</v>
      </c>
      <c r="BQ44" s="9">
        <f t="shared" si="8"/>
        <v>46259</v>
      </c>
      <c r="BR44" s="8">
        <f>SUMIFS(Detalle_facturado!T2:T100000,Detalle_facturado!A2:A100000,"&gt;="&amp;BQ44,Detalle_facturado!A2:A100000,"&lt;"&amp;BQ44+1,Detalle_facturado!Q2:Q100000,"Procesamiento")</f>
        <v>18.943576532072001</v>
      </c>
      <c r="BS44" s="8">
        <f>SUMIFS(Detalle_facturado!T2:T100000,Detalle_facturado!A2:A100000,"&gt;="&amp;BQ44,Detalle_facturado!A2:A100000,"&lt;"&amp;BQ44+1,Detalle_facturado!Q2:Q100000,"Plataforma - Producción y Soporte")</f>
        <v>359492.08455172682</v>
      </c>
      <c r="BT44" s="8">
        <f>SUMIFS(Detalle_facturado!T2:T100000,Detalle_facturado!A2:A100000,"&gt;="&amp;BQ44,Detalle_facturado!A2:A100000,"&lt;"&amp;BQ44+1,Detalle_facturado!Q2:Q100000,"Plataforma - Ambiente de Pruebas")</f>
        <v>1857981.4946080002</v>
      </c>
    </row>
    <row r="45" spans="37:72">
      <c r="AK45" s="8" t="s">
        <v>148</v>
      </c>
      <c r="AL45" s="8">
        <f>SUMIF(Detalle_facturado!F2:F100000,AK45,Detalle_facturado!W2:W100000)</f>
        <v>3133.4400396299557</v>
      </c>
      <c r="AM45" s="8">
        <f>RANK(AL45,$AL$13:$AL$76,0)+COUNTIF($AL$13:AL45,AL45)-1</f>
        <v>42</v>
      </c>
      <c r="AY45" s="9">
        <f>IF(AY44&lt;INT(MAX(Detalle_facturado!A2:A100000)),AY44+1,NA())</f>
        <v>46260</v>
      </c>
      <c r="AZ45" s="8">
        <f>IF(ISNA(AY45),NA(),SUMIFS(Detalle_facturado!W2:W100000,Detalle_facturado!A2:A100000,"&gt;="&amp;AY45,Detalle_facturado!A2:A100000,"&lt;"&amp;AY45+1))</f>
        <v>11843746.180189915</v>
      </c>
      <c r="BA45" s="8">
        <f>IF(ISNA(AY45),NA(),SUMIFS(Detalle_facturado!T2:T100000,Detalle_facturado!A2:A100000,"&gt;="&amp;AY45,Detalle_facturado!A2:A100000,"&lt;"&amp;AY45+1))</f>
        <v>7325194.1585107083</v>
      </c>
      <c r="BQ45" s="9">
        <f t="shared" si="8"/>
        <v>46260</v>
      </c>
      <c r="BR45" s="8">
        <f>SUMIFS(Detalle_facturado!T2:T100000,Detalle_facturado!A2:A100000,"&gt;="&amp;BQ45,Detalle_facturado!A2:A100000,"&lt;"&amp;BQ45+1,Detalle_facturado!Q2:Q100000,"Procesamiento")</f>
        <v>5945463.1864199955</v>
      </c>
      <c r="BS45" s="8">
        <f>SUMIFS(Detalle_facturado!T2:T100000,Detalle_facturado!A2:A100000,"&gt;="&amp;BQ45,Detalle_facturado!A2:A100000,"&lt;"&amp;BQ45+1,Detalle_facturado!Q2:Q100000,"Plataforma - Producción y Soporte")</f>
        <v>550510.58728823729</v>
      </c>
      <c r="BT45" s="8">
        <f>SUMIFS(Detalle_facturado!T2:T100000,Detalle_facturado!A2:A100000,"&gt;="&amp;BQ45,Detalle_facturado!A2:A100000,"&lt;"&amp;BQ45+1,Detalle_facturado!Q2:Q100000,"Plataforma - Ambiente de Pruebas")</f>
        <v>829220.38480249525</v>
      </c>
    </row>
    <row r="46" spans="37:72">
      <c r="AK46" s="8" t="s">
        <v>149</v>
      </c>
      <c r="AL46" s="8">
        <f>SUMIF(Detalle_facturado!F2:F100000,AK46,Detalle_facturado!W2:W100000)</f>
        <v>254.31201160624005</v>
      </c>
      <c r="AM46" s="8">
        <f>RANK(AL46,$AL$13:$AL$76,0)+COUNTIF($AL$13:AL46,AL46)-1</f>
        <v>46</v>
      </c>
      <c r="AY46" s="9">
        <f>IF(AY45&lt;INT(MAX(Detalle_facturado!A2:A100000)),AY45+1,NA())</f>
        <v>46261</v>
      </c>
      <c r="AZ46" s="8">
        <f>IF(ISNA(AY46),NA(),SUMIFS(Detalle_facturado!W2:W100000,Detalle_facturado!A2:A100000,"&gt;="&amp;AY46,Detalle_facturado!A2:A100000,"&lt;"&amp;AY46+1))</f>
        <v>10036731.943022</v>
      </c>
      <c r="BA46" s="8">
        <f>IF(ISNA(AY46),NA(),SUMIFS(Detalle_facturado!T2:T100000,Detalle_facturado!A2:A100000,"&gt;="&amp;AY46,Detalle_facturado!A2:A100000,"&lt;"&amp;AY46+1))</f>
        <v>6105483.3631525422</v>
      </c>
      <c r="BQ46" s="9">
        <f t="shared" si="8"/>
        <v>46261</v>
      </c>
      <c r="BR46" s="8">
        <f>SUMIFS(Detalle_facturado!T2:T100000,Detalle_facturado!A2:A100000,"&gt;="&amp;BQ46,Detalle_facturado!A2:A100000,"&lt;"&amp;BQ46+1,Detalle_facturado!Q2:Q100000,"Procesamiento")</f>
        <v>5172695.4998281803</v>
      </c>
      <c r="BS46" s="8">
        <f>SUMIFS(Detalle_facturado!T2:T100000,Detalle_facturado!A2:A100000,"&gt;="&amp;BQ46,Detalle_facturado!A2:A100000,"&lt;"&amp;BQ46+1,Detalle_facturado!Q2:Q100000,"Plataforma - Producción y Soporte")</f>
        <v>442369.1984269119</v>
      </c>
      <c r="BT46" s="8">
        <f>SUMIFS(Detalle_facturado!T2:T100000,Detalle_facturado!A2:A100000,"&gt;="&amp;BQ46,Detalle_facturado!A2:A100000,"&lt;"&amp;BQ46+1,Detalle_facturado!Q2:Q100000,"Plataforma - Ambiente de Pruebas")</f>
        <v>490418.66489749047</v>
      </c>
    </row>
    <row r="47" spans="37:72">
      <c r="AK47" s="8" t="s">
        <v>150</v>
      </c>
      <c r="AL47" s="8">
        <f>SUMIF(Detalle_facturado!F2:F100000,AK47,Detalle_facturado!W2:W100000)</f>
        <v>221.17889524453193</v>
      </c>
      <c r="AM47" s="8">
        <f>RANK(AL47,$AL$13:$AL$76,0)+COUNTIF($AL$13:AL47,AL47)-1</f>
        <v>47</v>
      </c>
      <c r="AY47" s="9" t="e">
        <f>IF(AY46&lt;INT(MAX(Detalle_facturado!A2:A100000)),AY46+1,NA())</f>
        <v>#N/A</v>
      </c>
      <c r="AZ47" s="8" t="e">
        <f>IF(ISNA(AY47),NA(),SUMIFS(Detalle_facturado!W2:W100000,Detalle_facturado!A2:A100000,"&gt;="&amp;AY47,Detalle_facturado!A2:A100000,"&lt;"&amp;AY47+1))</f>
        <v>#N/A</v>
      </c>
      <c r="BA47" s="8" t="e">
        <f>IF(ISNA(AY47),NA(),SUMIFS(Detalle_facturado!T2:T100000,Detalle_facturado!A2:A100000,"&gt;="&amp;AY47,Detalle_facturado!A2:A100000,"&lt;"&amp;AY47+1))</f>
        <v>#N/A</v>
      </c>
    </row>
    <row r="48" spans="37:72">
      <c r="AK48" s="8" t="s">
        <v>151</v>
      </c>
      <c r="AL48" s="8">
        <f>SUMIF(Detalle_facturado!F2:F100000,AK48,Detalle_facturado!W2:W100000)</f>
        <v>202.71575659802068</v>
      </c>
      <c r="AM48" s="8">
        <f>RANK(AL48,$AL$13:$AL$76,0)+COUNTIF($AL$13:AL48,AL48)-1</f>
        <v>48</v>
      </c>
      <c r="AY48" s="9" t="e">
        <f>IF(AY47&lt;INT(MAX(Detalle_facturado!A2:A100000)),AY47+1,NA())</f>
        <v>#N/A</v>
      </c>
      <c r="AZ48" s="8" t="e">
        <f>IF(ISNA(AY48),NA(),SUMIFS(Detalle_facturado!W2:W100000,Detalle_facturado!A2:A100000,"&gt;="&amp;AY48,Detalle_facturado!A2:A100000,"&lt;"&amp;AY48+1))</f>
        <v>#N/A</v>
      </c>
      <c r="BA48" s="8" t="e">
        <f>IF(ISNA(AY48),NA(),SUMIFS(Detalle_facturado!T2:T100000,Detalle_facturado!A2:A100000,"&gt;="&amp;AY48,Detalle_facturado!A2:A100000,"&lt;"&amp;AY48+1))</f>
        <v>#N/A</v>
      </c>
    </row>
    <row r="49" spans="37:53">
      <c r="AK49" s="8" t="s">
        <v>152</v>
      </c>
      <c r="AL49" s="8">
        <f>SUMIF(Detalle_facturado!F2:F100000,AK49,Detalle_facturado!W2:W100000)</f>
        <v>185.13851908070797</v>
      </c>
      <c r="AM49" s="8">
        <f>RANK(AL49,$AL$13:$AL$76,0)+COUNTIF($AL$13:AL49,AL49)-1</f>
        <v>49</v>
      </c>
      <c r="AY49" s="9" t="e">
        <f>IF(AY48&lt;INT(MAX(Detalle_facturado!A2:A100000)),AY48+1,NA())</f>
        <v>#N/A</v>
      </c>
      <c r="AZ49" s="8" t="e">
        <f>IF(ISNA(AY49),NA(),SUMIFS(Detalle_facturado!W2:W100000,Detalle_facturado!A2:A100000,"&gt;="&amp;AY49,Detalle_facturado!A2:A100000,"&lt;"&amp;AY49+1))</f>
        <v>#N/A</v>
      </c>
      <c r="BA49" s="8" t="e">
        <f>IF(ISNA(AY49),NA(),SUMIFS(Detalle_facturado!T2:T100000,Detalle_facturado!A2:A100000,"&gt;="&amp;AY49,Detalle_facturado!A2:A100000,"&lt;"&amp;AY49+1))</f>
        <v>#N/A</v>
      </c>
    </row>
    <row r="50" spans="37:53">
      <c r="AK50" s="8" t="s">
        <v>153</v>
      </c>
      <c r="AL50" s="8">
        <f>SUMIF(Detalle_facturado!F2:F100000,AK50,Detalle_facturado!W2:W100000)</f>
        <v>116.46895255737857</v>
      </c>
      <c r="AM50" s="8">
        <f>RANK(AL50,$AL$13:$AL$76,0)+COUNTIF($AL$13:AL50,AL50)-1</f>
        <v>50</v>
      </c>
      <c r="AY50" s="9" t="e">
        <f>IF(AY49&lt;INT(MAX(Detalle_facturado!A2:A100000)),AY49+1,NA())</f>
        <v>#N/A</v>
      </c>
      <c r="AZ50" s="8" t="e">
        <f>IF(ISNA(AY50),NA(),SUMIFS(Detalle_facturado!W2:W100000,Detalle_facturado!A2:A100000,"&gt;="&amp;AY50,Detalle_facturado!A2:A100000,"&lt;"&amp;AY50+1))</f>
        <v>#N/A</v>
      </c>
      <c r="BA50" s="8" t="e">
        <f>IF(ISNA(AY50),NA(),SUMIFS(Detalle_facturado!T2:T100000,Detalle_facturado!A2:A100000,"&gt;="&amp;AY50,Detalle_facturado!A2:A100000,"&lt;"&amp;AY50+1))</f>
        <v>#N/A</v>
      </c>
    </row>
    <row r="51" spans="37:53">
      <c r="AK51" s="8" t="s">
        <v>154</v>
      </c>
      <c r="AL51" s="8">
        <f>SUMIF(Detalle_facturado!F2:F100000,AK51,Detalle_facturado!W2:W100000)</f>
        <v>58.570937748124003</v>
      </c>
      <c r="AM51" s="8">
        <f>RANK(AL51,$AL$13:$AL$76,0)+COUNTIF($AL$13:AL51,AL51)-1</f>
        <v>52</v>
      </c>
      <c r="AY51" s="9" t="e">
        <f>IF(AY50&lt;INT(MAX(Detalle_facturado!A2:A100000)),AY50+1,NA())</f>
        <v>#N/A</v>
      </c>
      <c r="AZ51" s="8" t="e">
        <f>IF(ISNA(AY51),NA(),SUMIFS(Detalle_facturado!W2:W100000,Detalle_facturado!A2:A100000,"&gt;="&amp;AY51,Detalle_facturado!A2:A100000,"&lt;"&amp;AY51+1))</f>
        <v>#N/A</v>
      </c>
      <c r="BA51" s="8" t="e">
        <f>IF(ISNA(AY51),NA(),SUMIFS(Detalle_facturado!T2:T100000,Detalle_facturado!A2:A100000,"&gt;="&amp;AY51,Detalle_facturado!A2:A100000,"&lt;"&amp;AY51+1))</f>
        <v>#N/A</v>
      </c>
    </row>
    <row r="52" spans="37:53">
      <c r="AK52" s="8" t="s">
        <v>155</v>
      </c>
      <c r="AL52" s="8">
        <f>SUMIF(Detalle_facturado!F2:F100000,AK52,Detalle_facturado!W2:W100000)</f>
        <v>45.011114731543998</v>
      </c>
      <c r="AM52" s="8">
        <f>RANK(AL52,$AL$13:$AL$76,0)+COUNTIF($AL$13:AL52,AL52)-1</f>
        <v>53</v>
      </c>
      <c r="AY52" s="9" t="e">
        <f>IF(AY51&lt;INT(MAX(Detalle_facturado!A2:A100000)),AY51+1,NA())</f>
        <v>#N/A</v>
      </c>
      <c r="AZ52" s="8" t="e">
        <f>IF(ISNA(AY52),NA(),SUMIFS(Detalle_facturado!W2:W100000,Detalle_facturado!A2:A100000,"&gt;="&amp;AY52,Detalle_facturado!A2:A100000,"&lt;"&amp;AY52+1))</f>
        <v>#N/A</v>
      </c>
      <c r="BA52" s="8" t="e">
        <f>IF(ISNA(AY52),NA(),SUMIFS(Detalle_facturado!T2:T100000,Detalle_facturado!A2:A100000,"&gt;="&amp;AY52,Detalle_facturado!A2:A100000,"&lt;"&amp;AY52+1))</f>
        <v>#N/A</v>
      </c>
    </row>
    <row r="53" spans="37:53">
      <c r="AK53" s="8" t="s">
        <v>156</v>
      </c>
      <c r="AL53" s="8">
        <f>SUMIF(Detalle_facturado!F2:F100000,AK53,Detalle_facturado!W2:W100000)</f>
        <v>34.332394461088001</v>
      </c>
      <c r="AM53" s="8">
        <f>RANK(AL53,$AL$13:$AL$76,0)+COUNTIF($AL$13:AL53,AL53)-1</f>
        <v>54</v>
      </c>
      <c r="AY53" s="9" t="e">
        <f>IF(AY52&lt;INT(MAX(Detalle_facturado!A2:A100000)),AY52+1,NA())</f>
        <v>#N/A</v>
      </c>
      <c r="AZ53" s="8" t="e">
        <f>IF(ISNA(AY53),NA(),SUMIFS(Detalle_facturado!W2:W100000,Detalle_facturado!A2:A100000,"&gt;="&amp;AY53,Detalle_facturado!A2:A100000,"&lt;"&amp;AY53+1))</f>
        <v>#N/A</v>
      </c>
      <c r="BA53" s="8" t="e">
        <f>IF(ISNA(AY53),NA(),SUMIFS(Detalle_facturado!T2:T100000,Detalle_facturado!A2:A100000,"&gt;="&amp;AY53,Detalle_facturado!A2:A100000,"&lt;"&amp;AY53+1))</f>
        <v>#N/A</v>
      </c>
    </row>
    <row r="54" spans="37:53">
      <c r="AK54" s="8" t="s">
        <v>157</v>
      </c>
      <c r="AL54" s="8">
        <f>SUMIF(Detalle_facturado!F2:F100000,AK54,Detalle_facturado!W2:W100000)</f>
        <v>16.184107276300004</v>
      </c>
      <c r="AM54" s="8">
        <f>RANK(AL54,$AL$13:$AL$76,0)+COUNTIF($AL$13:AL54,AL54)-1</f>
        <v>56</v>
      </c>
      <c r="AY54" s="9" t="e">
        <f>IF(AY53&lt;INT(MAX(Detalle_facturado!A2:A100000)),AY53+1,NA())</f>
        <v>#N/A</v>
      </c>
      <c r="AZ54" s="8" t="e">
        <f>IF(ISNA(AY54),NA(),SUMIFS(Detalle_facturado!W2:W100000,Detalle_facturado!A2:A100000,"&gt;="&amp;AY54,Detalle_facturado!A2:A100000,"&lt;"&amp;AY54+1))</f>
        <v>#N/A</v>
      </c>
      <c r="BA54" s="8" t="e">
        <f>IF(ISNA(AY54),NA(),SUMIFS(Detalle_facturado!T2:T100000,Detalle_facturado!A2:A100000,"&gt;="&amp;AY54,Detalle_facturado!A2:A100000,"&lt;"&amp;AY54+1))</f>
        <v>#N/A</v>
      </c>
    </row>
    <row r="55" spans="37:53">
      <c r="AK55" s="8" t="s">
        <v>158</v>
      </c>
      <c r="AL55" s="8">
        <f>SUMIF(Detalle_facturado!F2:F100000,AK55,Detalle_facturado!W2:W100000)</f>
        <v>3.1089975859320012</v>
      </c>
      <c r="AM55" s="8">
        <f>RANK(AL55,$AL$13:$AL$76,0)+COUNTIF($AL$13:AL55,AL55)-1</f>
        <v>57</v>
      </c>
      <c r="AY55" s="9" t="e">
        <f>IF(AY54&lt;INT(MAX(Detalle_facturado!A2:A100000)),AY54+1,NA())</f>
        <v>#N/A</v>
      </c>
      <c r="AZ55" s="8" t="e">
        <f>IF(ISNA(AY55),NA(),SUMIFS(Detalle_facturado!W2:W100000,Detalle_facturado!A2:A100000,"&gt;="&amp;AY55,Detalle_facturado!A2:A100000,"&lt;"&amp;AY55+1))</f>
        <v>#N/A</v>
      </c>
      <c r="BA55" s="8" t="e">
        <f>IF(ISNA(AY55),NA(),SUMIFS(Detalle_facturado!T2:T100000,Detalle_facturado!A2:A100000,"&gt;="&amp;AY55,Detalle_facturado!A2:A100000,"&lt;"&amp;AY55+1))</f>
        <v>#N/A</v>
      </c>
    </row>
    <row r="56" spans="37:53">
      <c r="AK56" s="8" t="s">
        <v>159</v>
      </c>
      <c r="AL56" s="8">
        <f>SUMIF(Detalle_facturado!F2:F100000,AK56,Detalle_facturado!W2:W100000)</f>
        <v>0.52561164248399994</v>
      </c>
      <c r="AM56" s="8">
        <f>RANK(AL56,$AL$13:$AL$76,0)+COUNTIF($AL$13:AL56,AL56)-1</f>
        <v>58</v>
      </c>
      <c r="AY56" s="9" t="e">
        <f>IF(AY55&lt;INT(MAX(Detalle_facturado!A2:A100000)),AY55+1,NA())</f>
        <v>#N/A</v>
      </c>
      <c r="AZ56" s="8" t="e">
        <f>IF(ISNA(AY56),NA(),SUMIFS(Detalle_facturado!W2:W100000,Detalle_facturado!A2:A100000,"&gt;="&amp;AY56,Detalle_facturado!A2:A100000,"&lt;"&amp;AY56+1))</f>
        <v>#N/A</v>
      </c>
      <c r="BA56" s="8" t="e">
        <f>IF(ISNA(AY56),NA(),SUMIFS(Detalle_facturado!T2:T100000,Detalle_facturado!A2:A100000,"&gt;="&amp;AY56,Detalle_facturado!A2:A100000,"&lt;"&amp;AY56+1))</f>
        <v>#N/A</v>
      </c>
    </row>
    <row r="57" spans="37:53">
      <c r="AK57" s="8" t="s">
        <v>160</v>
      </c>
      <c r="AL57" s="8">
        <f>SUMIF(Detalle_facturado!F2:F100000,AK57,Detalle_facturado!W2:W100000)</f>
        <v>0.506005364244</v>
      </c>
      <c r="AM57" s="8">
        <f>RANK(AL57,$AL$13:$AL$76,0)+COUNTIF($AL$13:AL57,AL57)-1</f>
        <v>59</v>
      </c>
      <c r="AY57" s="9" t="e">
        <f>IF(AY56&lt;INT(MAX(Detalle_facturado!A2:A100000)),AY56+1,NA())</f>
        <v>#N/A</v>
      </c>
      <c r="AZ57" s="8" t="e">
        <f>IF(ISNA(AY57),NA(),SUMIFS(Detalle_facturado!W2:W100000,Detalle_facturado!A2:A100000,"&gt;="&amp;AY57,Detalle_facturado!A2:A100000,"&lt;"&amp;AY57+1))</f>
        <v>#N/A</v>
      </c>
      <c r="BA57" s="8" t="e">
        <f>IF(ISNA(AY57),NA(),SUMIFS(Detalle_facturado!T2:T100000,Detalle_facturado!A2:A100000,"&gt;="&amp;AY57,Detalle_facturado!A2:A100000,"&lt;"&amp;AY57+1))</f>
        <v>#N/A</v>
      </c>
    </row>
    <row r="58" spans="37:53">
      <c r="AK58" s="8" t="s">
        <v>161</v>
      </c>
      <c r="AL58" s="8">
        <f>SUMIF(Detalle_facturado!F2:F100000,AK58,Detalle_facturado!W2:W100000)</f>
        <v>9.6883670960000012E-3</v>
      </c>
      <c r="AM58" s="8">
        <f>RANK(AL58,$AL$13:$AL$76,0)+COUNTIF($AL$13:AL58,AL58)-1</f>
        <v>61</v>
      </c>
      <c r="AY58" s="9" t="e">
        <f>IF(AY57&lt;INT(MAX(Detalle_facturado!A2:A100000)),AY57+1,NA())</f>
        <v>#N/A</v>
      </c>
      <c r="AZ58" s="8" t="e">
        <f>IF(ISNA(AY58),NA(),SUMIFS(Detalle_facturado!W2:W100000,Detalle_facturado!A2:A100000,"&gt;="&amp;AY58,Detalle_facturado!A2:A100000,"&lt;"&amp;AY58+1))</f>
        <v>#N/A</v>
      </c>
      <c r="BA58" s="8" t="e">
        <f>IF(ISNA(AY58),NA(),SUMIFS(Detalle_facturado!T2:T100000,Detalle_facturado!A2:A100000,"&gt;="&amp;AY58,Detalle_facturado!A2:A100000,"&lt;"&amp;AY58+1))</f>
        <v>#N/A</v>
      </c>
    </row>
    <row r="59" spans="37:53">
      <c r="AK59" s="8" t="s">
        <v>162</v>
      </c>
      <c r="AL59" s="8">
        <f>SUMIF(Detalle_facturado!F2:F100000,AK59,Detalle_facturado!W2:W100000)</f>
        <v>1.1879269999999999E-4</v>
      </c>
      <c r="AM59" s="8">
        <f>RANK(AL59,$AL$13:$AL$76,0)+COUNTIF($AL$13:AL59,AL59)-1</f>
        <v>63</v>
      </c>
      <c r="AY59" s="9" t="e">
        <f>IF(AY58&lt;INT(MAX(Detalle_facturado!A2:A100000)),AY58+1,NA())</f>
        <v>#N/A</v>
      </c>
      <c r="AZ59" s="8" t="e">
        <f>IF(ISNA(AY59),NA(),SUMIFS(Detalle_facturado!W2:W100000,Detalle_facturado!A2:A100000,"&gt;="&amp;AY59,Detalle_facturado!A2:A100000,"&lt;"&amp;AY59+1))</f>
        <v>#N/A</v>
      </c>
      <c r="BA59" s="8" t="e">
        <f>IF(ISNA(AY59),NA(),SUMIFS(Detalle_facturado!T2:T100000,Detalle_facturado!A2:A100000,"&gt;="&amp;AY59,Detalle_facturado!A2:A100000,"&lt;"&amp;AY59+1))</f>
        <v>#N/A</v>
      </c>
    </row>
    <row r="60" spans="37:53">
      <c r="AK60" s="8" t="s">
        <v>163</v>
      </c>
      <c r="AL60" s="8">
        <f>SUMIF(Detalle_facturado!F2:F100000,AK60,Detalle_facturado!W2:W100000)</f>
        <v>1.0965479999999999E-5</v>
      </c>
      <c r="AM60" s="8">
        <f>RANK(AL60,$AL$13:$AL$76,0)+COUNTIF($AL$13:AL60,AL60)-1</f>
        <v>64</v>
      </c>
      <c r="AY60" s="9" t="e">
        <f>IF(AY59&lt;INT(MAX(Detalle_facturado!A2:A100000)),AY59+1,NA())</f>
        <v>#N/A</v>
      </c>
      <c r="AZ60" s="8" t="e">
        <f>IF(ISNA(AY60),NA(),SUMIFS(Detalle_facturado!W2:W100000,Detalle_facturado!A2:A100000,"&gt;="&amp;AY60,Detalle_facturado!A2:A100000,"&lt;"&amp;AY60+1))</f>
        <v>#N/A</v>
      </c>
      <c r="BA60" s="8" t="e">
        <f>IF(ISNA(AY60),NA(),SUMIFS(Detalle_facturado!T2:T100000,Detalle_facturado!A2:A100000,"&gt;="&amp;AY60,Detalle_facturado!A2:A100000,"&lt;"&amp;AY60+1))</f>
        <v>#N/A</v>
      </c>
    </row>
    <row r="61" spans="37:53">
      <c r="AK61" s="8" t="s">
        <v>164</v>
      </c>
      <c r="AL61" s="8">
        <f>SUMIF(Detalle_facturado!F2:F100000,AK61,Detalle_facturado!W2:W100000)</f>
        <v>320957.84298273735</v>
      </c>
      <c r="AM61" s="8">
        <f>RANK(AL61,$AL$13:$AL$76,0)+COUNTIF($AL$13:AL61,AL61)-1</f>
        <v>17</v>
      </c>
      <c r="AY61" s="9" t="e">
        <f>IF(AY60&lt;INT(MAX(Detalle_facturado!A2:A100000)),AY60+1,NA())</f>
        <v>#N/A</v>
      </c>
      <c r="AZ61" s="8" t="e">
        <f>IF(ISNA(AY61),NA(),SUMIFS(Detalle_facturado!W2:W100000,Detalle_facturado!A2:A100000,"&gt;="&amp;AY61,Detalle_facturado!A2:A100000,"&lt;"&amp;AY61+1))</f>
        <v>#N/A</v>
      </c>
      <c r="BA61" s="8" t="e">
        <f>IF(ISNA(AY61),NA(),SUMIFS(Detalle_facturado!T2:T100000,Detalle_facturado!A2:A100000,"&gt;="&amp;AY61,Detalle_facturado!A2:A100000,"&lt;"&amp;AY61+1))</f>
        <v>#N/A</v>
      </c>
    </row>
    <row r="62" spans="37:53">
      <c r="AK62" s="8" t="s">
        <v>165</v>
      </c>
      <c r="AL62" s="8">
        <f>SUMIF(Detalle_facturado!F2:F100000,AK62,Detalle_facturado!W2:W100000)</f>
        <v>918837.58692974376</v>
      </c>
      <c r="AM62" s="8">
        <f>RANK(AL62,$AL$13:$AL$76,0)+COUNTIF($AL$13:AL62,AL62)-1</f>
        <v>13</v>
      </c>
      <c r="AY62" s="9" t="e">
        <f>IF(AY61&lt;INT(MAX(Detalle_facturado!A2:A100000)),AY61+1,NA())</f>
        <v>#N/A</v>
      </c>
      <c r="AZ62" s="8" t="e">
        <f>IF(ISNA(AY62),NA(),SUMIFS(Detalle_facturado!W2:W100000,Detalle_facturado!A2:A100000,"&gt;="&amp;AY62,Detalle_facturado!A2:A100000,"&lt;"&amp;AY62+1))</f>
        <v>#N/A</v>
      </c>
      <c r="BA62" s="8" t="e">
        <f>IF(ISNA(AY62),NA(),SUMIFS(Detalle_facturado!T2:T100000,Detalle_facturado!A2:A100000,"&gt;="&amp;AY62,Detalle_facturado!A2:A100000,"&lt;"&amp;AY62+1))</f>
        <v>#N/A</v>
      </c>
    </row>
    <row r="63" spans="37:53">
      <c r="AK63" s="8" t="s">
        <v>166</v>
      </c>
      <c r="AL63" s="8">
        <f>SUMIF(Detalle_facturado!F2:F100000,AK63,Detalle_facturado!W2:W100000)</f>
        <v>70360.337402620935</v>
      </c>
      <c r="AM63" s="8">
        <f>RANK(AL63,$AL$13:$AL$76,0)+COUNTIF($AL$13:AL63,AL63)-1</f>
        <v>29</v>
      </c>
      <c r="AY63" s="9" t="e">
        <f>IF(AY62&lt;INT(MAX(Detalle_facturado!A2:A100000)),AY62+1,NA())</f>
        <v>#N/A</v>
      </c>
      <c r="AZ63" s="8" t="e">
        <f>IF(ISNA(AY63),NA(),SUMIFS(Detalle_facturado!W2:W100000,Detalle_facturado!A2:A100000,"&gt;="&amp;AY63,Detalle_facturado!A2:A100000,"&lt;"&amp;AY63+1))</f>
        <v>#N/A</v>
      </c>
      <c r="BA63" s="8" t="e">
        <f>IF(ISNA(AY63),NA(),SUMIFS(Detalle_facturado!T2:T100000,Detalle_facturado!A2:A100000,"&gt;="&amp;AY63,Detalle_facturado!A2:A100000,"&lt;"&amp;AY63+1))</f>
        <v>#N/A</v>
      </c>
    </row>
    <row r="64" spans="37:53">
      <c r="AK64" s="8" t="s">
        <v>167</v>
      </c>
      <c r="AL64" s="8">
        <f>SUMIF(Detalle_facturado!F2:F100000,AK64,Detalle_facturado!W2:W100000)</f>
        <v>113221.59388332795</v>
      </c>
      <c r="AM64" s="8">
        <f>RANK(AL64,$AL$13:$AL$76,0)+COUNTIF($AL$13:AL64,AL64)-1</f>
        <v>26</v>
      </c>
      <c r="AY64" s="9" t="e">
        <f>IF(AY63&lt;INT(MAX(Detalle_facturado!A2:A100000)),AY63+1,NA())</f>
        <v>#N/A</v>
      </c>
      <c r="AZ64" s="8" t="e">
        <f>IF(ISNA(AY64),NA(),SUMIFS(Detalle_facturado!W2:W100000,Detalle_facturado!A2:A100000,"&gt;="&amp;AY64,Detalle_facturado!A2:A100000,"&lt;"&amp;AY64+1))</f>
        <v>#N/A</v>
      </c>
      <c r="BA64" s="8" t="e">
        <f>IF(ISNA(AY64),NA(),SUMIFS(Detalle_facturado!T2:T100000,Detalle_facturado!A2:A100000,"&gt;="&amp;AY64,Detalle_facturado!A2:A100000,"&lt;"&amp;AY64+1))</f>
        <v>#N/A</v>
      </c>
    </row>
    <row r="65" spans="37:53">
      <c r="AK65" s="8" t="s">
        <v>168</v>
      </c>
      <c r="AL65" s="8">
        <f>SUMIF(Detalle_facturado!F2:F100000,AK65,Detalle_facturado!W2:W100000)</f>
        <v>136393.8591443382</v>
      </c>
      <c r="AM65" s="8">
        <f>RANK(AL65,$AL$13:$AL$76,0)+COUNTIF($AL$13:AL65,AL65)-1</f>
        <v>22</v>
      </c>
      <c r="AY65" s="9" t="e">
        <f>IF(AY64&lt;INT(MAX(Detalle_facturado!A2:A100000)),AY64+1,NA())</f>
        <v>#N/A</v>
      </c>
      <c r="AZ65" s="8" t="e">
        <f>IF(ISNA(AY65),NA(),SUMIFS(Detalle_facturado!W2:W100000,Detalle_facturado!A2:A100000,"&gt;="&amp;AY65,Detalle_facturado!A2:A100000,"&lt;"&amp;AY65+1))</f>
        <v>#N/A</v>
      </c>
      <c r="BA65" s="8" t="e">
        <f>IF(ISNA(AY65),NA(),SUMIFS(Detalle_facturado!T2:T100000,Detalle_facturado!A2:A100000,"&gt;="&amp;AY65,Detalle_facturado!A2:A100000,"&lt;"&amp;AY65+1))</f>
        <v>#N/A</v>
      </c>
    </row>
    <row r="66" spans="37:53">
      <c r="AK66" s="8" t="s">
        <v>169</v>
      </c>
      <c r="AL66" s="8">
        <f>SUMIF(Detalle_facturado!F2:F100000,AK66,Detalle_facturado!W2:W100000)</f>
        <v>1638261.2597729689</v>
      </c>
      <c r="AM66" s="8">
        <f>RANK(AL66,$AL$13:$AL$76,0)+COUNTIF($AL$13:AL66,AL66)-1</f>
        <v>10</v>
      </c>
      <c r="AY66" s="9" t="e">
        <f>IF(AY65&lt;INT(MAX(Detalle_facturado!A2:A100000)),AY65+1,NA())</f>
        <v>#N/A</v>
      </c>
      <c r="AZ66" s="8" t="e">
        <f>IF(ISNA(AY66),NA(),SUMIFS(Detalle_facturado!W2:W100000,Detalle_facturado!A2:A100000,"&gt;="&amp;AY66,Detalle_facturado!A2:A100000,"&lt;"&amp;AY66+1))</f>
        <v>#N/A</v>
      </c>
      <c r="BA66" s="8" t="e">
        <f>IF(ISNA(AY66),NA(),SUMIFS(Detalle_facturado!T2:T100000,Detalle_facturado!A2:A100000,"&gt;="&amp;AY66,Detalle_facturado!A2:A100000,"&lt;"&amp;AY66+1))</f>
        <v>#N/A</v>
      </c>
    </row>
    <row r="67" spans="37:53">
      <c r="AK67" s="8" t="s">
        <v>170</v>
      </c>
      <c r="AL67" s="8">
        <f>SUMIF(Detalle_facturado!F2:F100000,AK67,Detalle_facturado!W2:W100000)</f>
        <v>6297.2741301999995</v>
      </c>
      <c r="AM67" s="8">
        <f>RANK(AL67,$AL$13:$AL$76,0)+COUNTIF($AL$13:AL67,AL67)-1</f>
        <v>37</v>
      </c>
      <c r="AY67" s="9" t="e">
        <f>IF(AY66&lt;INT(MAX(Detalle_facturado!A2:A100000)),AY66+1,NA())</f>
        <v>#N/A</v>
      </c>
      <c r="AZ67" s="8" t="e">
        <f>IF(ISNA(AY67),NA(),SUMIFS(Detalle_facturado!W2:W100000,Detalle_facturado!A2:A100000,"&gt;="&amp;AY67,Detalle_facturado!A2:A100000,"&lt;"&amp;AY67+1))</f>
        <v>#N/A</v>
      </c>
      <c r="BA67" s="8" t="e">
        <f>IF(ISNA(AY67),NA(),SUMIFS(Detalle_facturado!T2:T100000,Detalle_facturado!A2:A100000,"&gt;="&amp;AY67,Detalle_facturado!A2:A100000,"&lt;"&amp;AY67+1))</f>
        <v>#N/A</v>
      </c>
    </row>
    <row r="68" spans="37:53">
      <c r="AK68" s="8" t="s">
        <v>171</v>
      </c>
      <c r="AL68" s="8">
        <f>SUMIF(Detalle_facturado!F2:F100000,AK68,Detalle_facturado!W2:W100000)</f>
        <v>1029176.0908800003</v>
      </c>
      <c r="AM68" s="8">
        <f>RANK(AL68,$AL$13:$AL$76,0)+COUNTIF($AL$13:AL68,AL68)-1</f>
        <v>12</v>
      </c>
      <c r="AY68" s="9" t="e">
        <f>IF(AY67&lt;INT(MAX(Detalle_facturado!A2:A100000)),AY67+1,NA())</f>
        <v>#N/A</v>
      </c>
      <c r="AZ68" s="8" t="e">
        <f>IF(ISNA(AY68),NA(),SUMIFS(Detalle_facturado!W2:W100000,Detalle_facturado!A2:A100000,"&gt;="&amp;AY68,Detalle_facturado!A2:A100000,"&lt;"&amp;AY68+1))</f>
        <v>#N/A</v>
      </c>
      <c r="BA68" s="8" t="e">
        <f>IF(ISNA(AY68),NA(),SUMIFS(Detalle_facturado!T2:T100000,Detalle_facturado!A2:A100000,"&gt;="&amp;AY68,Detalle_facturado!A2:A100000,"&lt;"&amp;AY68+1))</f>
        <v>#N/A</v>
      </c>
    </row>
    <row r="69" spans="37:53">
      <c r="AK69" s="8" t="s">
        <v>172</v>
      </c>
      <c r="AL69" s="8">
        <f>SUMIF(Detalle_facturado!F2:F100000,AK69,Detalle_facturado!W2:W100000)</f>
        <v>1725418.3072412801</v>
      </c>
      <c r="AM69" s="8">
        <f>RANK(AL69,$AL$13:$AL$76,0)+COUNTIF($AL$13:AL69,AL69)-1</f>
        <v>9</v>
      </c>
      <c r="AY69" s="9" t="e">
        <f>IF(AY68&lt;INT(MAX(Detalle_facturado!A2:A100000)),AY68+1,NA())</f>
        <v>#N/A</v>
      </c>
      <c r="AZ69" s="8" t="e">
        <f>IF(ISNA(AY69),NA(),SUMIFS(Detalle_facturado!W2:W100000,Detalle_facturado!A2:A100000,"&gt;="&amp;AY69,Detalle_facturado!A2:A100000,"&lt;"&amp;AY69+1))</f>
        <v>#N/A</v>
      </c>
      <c r="BA69" s="8" t="e">
        <f>IF(ISNA(AY69),NA(),SUMIFS(Detalle_facturado!T2:T100000,Detalle_facturado!A2:A100000,"&gt;="&amp;AY69,Detalle_facturado!A2:A100000,"&lt;"&amp;AY69+1))</f>
        <v>#N/A</v>
      </c>
    </row>
    <row r="70" spans="37:53">
      <c r="AK70" s="8" t="s">
        <v>173</v>
      </c>
      <c r="AL70" s="8">
        <f>SUMIF(Detalle_facturado!F2:F100000,AK70,Detalle_facturado!W2:W100000)</f>
        <v>31682.547215241164</v>
      </c>
      <c r="AM70" s="8">
        <f>RANK(AL70,$AL$13:$AL$76,0)+COUNTIF($AL$13:AL70,AL70)-1</f>
        <v>32</v>
      </c>
      <c r="AY70" s="9" t="e">
        <f>IF(AY69&lt;INT(MAX(Detalle_facturado!A2:A100000)),AY69+1,NA())</f>
        <v>#N/A</v>
      </c>
      <c r="AZ70" s="8" t="e">
        <f>IF(ISNA(AY70),NA(),SUMIFS(Detalle_facturado!W2:W100000,Detalle_facturado!A2:A100000,"&gt;="&amp;AY70,Detalle_facturado!A2:A100000,"&lt;"&amp;AY70+1))</f>
        <v>#N/A</v>
      </c>
      <c r="BA70" s="8" t="e">
        <f>IF(ISNA(AY70),NA(),SUMIFS(Detalle_facturado!T2:T100000,Detalle_facturado!A2:A100000,"&gt;="&amp;AY70,Detalle_facturado!A2:A100000,"&lt;"&amp;AY70+1))</f>
        <v>#N/A</v>
      </c>
    </row>
    <row r="71" spans="37:53" ht="19.899999999999999" customHeight="1">
      <c r="AK71" s="8" t="s">
        <v>174</v>
      </c>
      <c r="AL71" s="8">
        <f>SUMIF(Detalle_facturado!F2:F100000,AK71,Detalle_facturado!W2:W100000)</f>
        <v>161090.21151999992</v>
      </c>
      <c r="AM71" s="8">
        <f>RANK(AL71,$AL$13:$AL$76,0)+COUNTIF($AL$13:AL71,AL71)-1</f>
        <v>20</v>
      </c>
      <c r="AY71" s="9" t="e">
        <f>IF(AY70&lt;INT(MAX(Detalle_facturado!A2:A100000)),AY70+1,NA())</f>
        <v>#N/A</v>
      </c>
      <c r="AZ71" s="8" t="e">
        <f>IF(ISNA(AY71),NA(),SUMIFS(Detalle_facturado!W2:W100000,Detalle_facturado!A2:A100000,"&gt;="&amp;AY71,Detalle_facturado!A2:A100000,"&lt;"&amp;AY71+1))</f>
        <v>#N/A</v>
      </c>
      <c r="BA71" s="8" t="e">
        <f>IF(ISNA(AY71),NA(),SUMIFS(Detalle_facturado!T2:T100000,Detalle_facturado!A2:A100000,"&gt;="&amp;AY71,Detalle_facturado!A2:A100000,"&lt;"&amp;AY71+1))</f>
        <v>#N/A</v>
      </c>
    </row>
    <row r="72" spans="37:53" ht="19.899999999999999" customHeight="1">
      <c r="AK72" s="8" t="s">
        <v>175</v>
      </c>
      <c r="AL72" s="8">
        <f>SUMIF(Detalle_facturado!F2:F100000,AK72,Detalle_facturado!W2:W100000)</f>
        <v>155525.59593599994</v>
      </c>
      <c r="AM72" s="8">
        <f>RANK(AL72,$AL$13:$AL$76,0)+COUNTIF($AL$13:AL72,AL72)-1</f>
        <v>21</v>
      </c>
      <c r="AY72" s="9" t="e">
        <f>IF(AY71&lt;INT(MAX(Detalle_facturado!A2:A100000)),AY71+1,NA())</f>
        <v>#N/A</v>
      </c>
      <c r="AZ72" s="8" t="e">
        <f>IF(ISNA(AY72),NA(),SUMIFS(Detalle_facturado!W2:W100000,Detalle_facturado!A2:A100000,"&gt;="&amp;AY72,Detalle_facturado!A2:A100000,"&lt;"&amp;AY72+1))</f>
        <v>#N/A</v>
      </c>
      <c r="BA72" s="8" t="e">
        <f>IF(ISNA(AY72),NA(),SUMIFS(Detalle_facturado!T2:T100000,Detalle_facturado!A2:A100000,"&gt;="&amp;AY72,Detalle_facturado!A2:A100000,"&lt;"&amp;AY72+1))</f>
        <v>#N/A</v>
      </c>
    </row>
    <row r="73" spans="37:53" ht="19.899999999999999" customHeight="1">
      <c r="AK73" s="8" t="s">
        <v>176</v>
      </c>
      <c r="AL73" s="8">
        <f>SUMIF(Detalle_facturado!F2:F100000,AK73,Detalle_facturado!W2:W100000)</f>
        <v>132056.07016823205</v>
      </c>
      <c r="AM73" s="8">
        <f>RANK(AL73,$AL$13:$AL$76,0)+COUNTIF($AL$13:AL73,AL73)-1</f>
        <v>23</v>
      </c>
      <c r="AY73" s="9" t="e">
        <f>IF(AY72&lt;INT(MAX(Detalle_facturado!A2:A100000)),AY72+1,NA())</f>
        <v>#N/A</v>
      </c>
      <c r="AZ73" s="8" t="e">
        <f>IF(ISNA(AY73),NA(),SUMIFS(Detalle_facturado!W2:W100000,Detalle_facturado!A2:A100000,"&gt;="&amp;AY73,Detalle_facturado!A2:A100000,"&lt;"&amp;AY73+1))</f>
        <v>#N/A</v>
      </c>
      <c r="BA73" s="8" t="e">
        <f>IF(ISNA(AY73),NA(),SUMIFS(Detalle_facturado!T2:T100000,Detalle_facturado!A2:A100000,"&gt;="&amp;AY73,Detalle_facturado!A2:A100000,"&lt;"&amp;AY73+1))</f>
        <v>#N/A</v>
      </c>
    </row>
    <row r="74" spans="37:53" ht="19.899999999999999" customHeight="1">
      <c r="AK74" s="8" t="s">
        <v>177</v>
      </c>
      <c r="AL74" s="8">
        <f>SUMIF(Detalle_facturado!F2:F100000,AK74,Detalle_facturado!W2:W100000)</f>
        <v>452.95642181772803</v>
      </c>
      <c r="AM74" s="8">
        <f>RANK(AL74,$AL$13:$AL$76,0)+COUNTIF($AL$13:AL74,AL74)-1</f>
        <v>44</v>
      </c>
      <c r="AY74" s="9" t="e">
        <f>IF(AY73&lt;INT(MAX(Detalle_facturado!A2:A100000)),AY73+1,NA())</f>
        <v>#N/A</v>
      </c>
      <c r="AZ74" s="8" t="e">
        <f>IF(ISNA(AY74),NA(),SUMIFS(Detalle_facturado!W2:W100000,Detalle_facturado!A2:A100000,"&gt;="&amp;AY74,Detalle_facturado!A2:A100000,"&lt;"&amp;AY74+1))</f>
        <v>#N/A</v>
      </c>
      <c r="BA74" s="8" t="e">
        <f>IF(ISNA(AY74),NA(),SUMIFS(Detalle_facturado!T2:T100000,Detalle_facturado!A2:A100000,"&gt;="&amp;AY74,Detalle_facturado!A2:A100000,"&lt;"&amp;AY74+1))</f>
        <v>#N/A</v>
      </c>
    </row>
    <row r="75" spans="37:53" ht="19.899999999999999" customHeight="1">
      <c r="AK75" s="8" t="s">
        <v>178</v>
      </c>
      <c r="AL75" s="8">
        <f>SUMIF(Detalle_facturado!F2:F100000,AK75,Detalle_facturado!W2:W100000)</f>
        <v>20895270.413999997</v>
      </c>
      <c r="AM75" s="8">
        <f>RANK(AL75,$AL$13:$AL$76,0)+COUNTIF($AL$13:AL75,AL75)-1</f>
        <v>2</v>
      </c>
      <c r="AY75" s="9" t="e">
        <f>IF(AY74&lt;INT(MAX(Detalle_facturado!A2:A100000)),AY74+1,NA())</f>
        <v>#N/A</v>
      </c>
      <c r="AZ75" s="8" t="e">
        <f>IF(ISNA(AY75),NA(),SUMIFS(Detalle_facturado!W2:W100000,Detalle_facturado!A2:A100000,"&gt;="&amp;AY75,Detalle_facturado!A2:A100000,"&lt;"&amp;AY75+1))</f>
        <v>#N/A</v>
      </c>
      <c r="BA75" s="8" t="e">
        <f>IF(ISNA(AY75),NA(),SUMIFS(Detalle_facturado!T2:T100000,Detalle_facturado!A2:A100000,"&gt;="&amp;AY75,Detalle_facturado!A2:A100000,"&lt;"&amp;AY75+1))</f>
        <v>#N/A</v>
      </c>
    </row>
    <row r="76" spans="37:53" ht="19.899999999999999" customHeight="1">
      <c r="AK76" s="8" t="s">
        <v>179</v>
      </c>
      <c r="AL76" s="8">
        <f>SUMIF(Detalle_facturado!F2:F100000,AK76,Detalle_facturado!W2:W100000)</f>
        <v>59652.211199999954</v>
      </c>
      <c r="AM76" s="8">
        <f>RANK(AL76,$AL$13:$AL$76,0)+COUNTIF($AL$13:AL76,AL76)-1</f>
        <v>30</v>
      </c>
      <c r="AY76" s="9" t="e">
        <f>IF(AY75&lt;INT(MAX(Detalle_facturado!A2:A100000)),AY75+1,NA())</f>
        <v>#N/A</v>
      </c>
      <c r="AZ76" s="8" t="e">
        <f>IF(ISNA(AY76),NA(),SUMIFS(Detalle_facturado!W2:W100000,Detalle_facturado!A2:A100000,"&gt;="&amp;AY76,Detalle_facturado!A2:A100000,"&lt;"&amp;AY76+1))</f>
        <v>#N/A</v>
      </c>
      <c r="BA76" s="8" t="e">
        <f>IF(ISNA(AY76),NA(),SUMIFS(Detalle_facturado!T2:T100000,Detalle_facturado!A2:A100000,"&gt;="&amp;AY76,Detalle_facturado!A2:A100000,"&lt;"&amp;AY76+1))</f>
        <v>#N/A</v>
      </c>
    </row>
    <row r="77" spans="37:53">
      <c r="AY77" s="9" t="e">
        <f>IF(AY76&lt;INT(MAX(Detalle_facturado!A2:A100000)),AY76+1,NA())</f>
        <v>#N/A</v>
      </c>
      <c r="AZ77" s="8" t="e">
        <f>IF(ISNA(AY77),NA(),SUMIFS(Detalle_facturado!W2:W100000,Detalle_facturado!A2:A100000,"&gt;="&amp;AY77,Detalle_facturado!A2:A100000,"&lt;"&amp;AY77+1))</f>
        <v>#N/A</v>
      </c>
      <c r="BA77" s="8" t="e">
        <f>IF(ISNA(AY77),NA(),SUMIFS(Detalle_facturado!T2:T100000,Detalle_facturado!A2:A100000,"&gt;="&amp;AY77,Detalle_facturado!A2:A100000,"&lt;"&amp;AY77+1))</f>
        <v>#N/A</v>
      </c>
    </row>
    <row r="78" spans="37:53" ht="13.9" customHeight="1">
      <c r="AY78" s="9" t="e">
        <f>IF(AY77&lt;INT(MAX(Detalle_facturado!A2:A100000)),AY77+1,NA())</f>
        <v>#N/A</v>
      </c>
      <c r="AZ78" s="8" t="e">
        <f>IF(ISNA(AY78),NA(),SUMIFS(Detalle_facturado!W2:W100000,Detalle_facturado!A2:A100000,"&gt;="&amp;AY78,Detalle_facturado!A2:A100000,"&lt;"&amp;AY78+1))</f>
        <v>#N/A</v>
      </c>
      <c r="BA78" s="8" t="e">
        <f>IF(ISNA(AY78),NA(),SUMIFS(Detalle_facturado!T2:T100000,Detalle_facturado!A2:A100000,"&gt;="&amp;AY78,Detalle_facturado!A2:A100000,"&lt;"&amp;AY78+1))</f>
        <v>#N/A</v>
      </c>
    </row>
    <row r="79" spans="37:53">
      <c r="AY79" s="9" t="e">
        <f>IF(AY78&lt;INT(MAX(Detalle_facturado!A2:A100000)),AY78+1,NA())</f>
        <v>#N/A</v>
      </c>
      <c r="AZ79" s="8" t="e">
        <f>IF(ISNA(AY79),NA(),SUMIFS(Detalle_facturado!W2:W100000,Detalle_facturado!A2:A100000,"&gt;="&amp;AY79,Detalle_facturado!A2:A100000,"&lt;"&amp;AY79+1))</f>
        <v>#N/A</v>
      </c>
      <c r="BA79" s="8" t="e">
        <f>IF(ISNA(AY79),NA(),SUMIFS(Detalle_facturado!T2:T100000,Detalle_facturado!A2:A100000,"&gt;="&amp;AY79,Detalle_facturado!A2:A100000,"&lt;"&amp;AY79+1))</f>
        <v>#N/A</v>
      </c>
    </row>
    <row r="80" spans="37:53">
      <c r="AK80" s="13" t="s">
        <v>180</v>
      </c>
      <c r="AL80" s="13" t="s">
        <v>66</v>
      </c>
      <c r="AO80" s="13" t="s">
        <v>181</v>
      </c>
      <c r="AP80" s="13" t="s">
        <v>66</v>
      </c>
      <c r="AY80" s="9" t="e">
        <f>IF(AY79&lt;INT(MAX(Detalle_facturado!A2:A100000)),AY79+1,NA())</f>
        <v>#N/A</v>
      </c>
      <c r="AZ80" s="8" t="e">
        <f>IF(ISNA(AY80),NA(),SUMIFS(Detalle_facturado!W2:W100000,Detalle_facturado!A2:A100000,"&gt;="&amp;AY80,Detalle_facturado!A2:A100000,"&lt;"&amp;AY80+1))</f>
        <v>#N/A</v>
      </c>
      <c r="BA80" s="8" t="e">
        <f>IF(ISNA(AY80),NA(),SUMIFS(Detalle_facturado!T2:T100000,Detalle_facturado!A2:A100000,"&gt;="&amp;AY80,Detalle_facturado!A2:A100000,"&lt;"&amp;AY80+1))</f>
        <v>#N/A</v>
      </c>
    </row>
    <row r="81" spans="37:53">
      <c r="AK81" s="8" t="str">
        <f>INDEX($AK$13:$AK$76,MATCH(1,$AM$13:$AM$76,0))</f>
        <v>Claude Opus 4.6 (Amazon Bedrock Edition)</v>
      </c>
      <c r="AL81" s="8">
        <f>INDEX($AL$13:$AL$76,MATCH(1,$AM$13:$AM$76,0))</f>
        <v>120911547.13167547</v>
      </c>
      <c r="AO81" s="8" t="str">
        <f>INDEX($AO$13:$AO$34,MATCH(1,$AQ$13:$AQ$34,0))</f>
        <v>GenAI</v>
      </c>
      <c r="AP81" s="8">
        <f>INDEX($AP$13:$AP$34,MATCH(1,$AQ$13:$AQ$34,0))</f>
        <v>124671217.16345675</v>
      </c>
      <c r="AY81" s="9" t="e">
        <f>IF(AY80&lt;INT(MAX(Detalle_facturado!A2:A100000)),AY80+1,NA())</f>
        <v>#N/A</v>
      </c>
      <c r="AZ81" s="8" t="e">
        <f>IF(ISNA(AY81),NA(),SUMIFS(Detalle_facturado!W2:W100000,Detalle_facturado!A2:A100000,"&gt;="&amp;AY81,Detalle_facturado!A2:A100000,"&lt;"&amp;AY81+1))</f>
        <v>#N/A</v>
      </c>
      <c r="BA81" s="8" t="e">
        <f>IF(ISNA(AY81),NA(),SUMIFS(Detalle_facturado!T2:T100000,Detalle_facturado!A2:A100000,"&gt;="&amp;AY81,Detalle_facturado!A2:A100000,"&lt;"&amp;AY81+1))</f>
        <v>#N/A</v>
      </c>
    </row>
    <row r="82" spans="37:53">
      <c r="AK82" s="8" t="str">
        <f>INDEX($AK$13:$AK$76,MATCH(2,$AM$13:$AM$76,0))</f>
        <v>AWS Enterprise Support</v>
      </c>
      <c r="AL82" s="8">
        <f>INDEX($AL$13:$AL$76,MATCH(2,$AM$13:$AM$76,0))</f>
        <v>20895270.413999997</v>
      </c>
      <c r="AO82" s="8" t="str">
        <f>INDEX($AO$13:$AO$34,MATCH(2,$AQ$13:$AQ$34,0))</f>
        <v>Soporte AWS</v>
      </c>
      <c r="AP82" s="8">
        <f>INDEX($AP$13:$AP$34,MATCH(2,$AQ$13:$AQ$34,0))</f>
        <v>20895270.413999997</v>
      </c>
      <c r="AY82" s="9" t="e">
        <f>IF(AY81&lt;INT(MAX(Detalle_facturado!A2:A100000)),AY81+1,NA())</f>
        <v>#N/A</v>
      </c>
      <c r="AZ82" s="8" t="e">
        <f>IF(ISNA(AY82),NA(),SUMIFS(Detalle_facturado!W2:W100000,Detalle_facturado!A2:A100000,"&gt;="&amp;AY82,Detalle_facturado!A2:A100000,"&lt;"&amp;AY82+1))</f>
        <v>#N/A</v>
      </c>
      <c r="BA82" s="8" t="e">
        <f>IF(ISNA(AY82),NA(),SUMIFS(Detalle_facturado!T2:T100000,Detalle_facturado!A2:A100000,"&gt;="&amp;AY82,Detalle_facturado!A2:A100000,"&lt;"&amp;AY82+1))</f>
        <v>#N/A</v>
      </c>
    </row>
    <row r="83" spans="37:53">
      <c r="AK83" s="8" t="str">
        <f>INDEX($AK$13:$AK$76,MATCH(3,$AM$13:$AM$76,0))</f>
        <v>Amazon QuickSight</v>
      </c>
      <c r="AL83" s="8">
        <f>INDEX($AL$13:$AL$76,MATCH(3,$AM$13:$AM$76,0))</f>
        <v>8349505.4360853331</v>
      </c>
      <c r="AO83" s="8" t="str">
        <f>INDEX($AO$13:$AO$34,MATCH(3,$AQ$13:$AQ$34,0))</f>
        <v>Analitica y BI</v>
      </c>
      <c r="AP83" s="8">
        <f>INDEX($AP$13:$AP$34,MATCH(3,$AQ$13:$AQ$34,0))</f>
        <v>8397938.4288560618</v>
      </c>
      <c r="AY83" s="9" t="e">
        <f>IF(AY82&lt;INT(MAX(Detalle_facturado!A2:A100000)),AY82+1,NA())</f>
        <v>#N/A</v>
      </c>
      <c r="AZ83" s="8" t="e">
        <f>IF(ISNA(AY83),NA(),SUMIFS(Detalle_facturado!W2:W100000,Detalle_facturado!A2:A100000,"&gt;="&amp;AY83,Detalle_facturado!A2:A100000,"&lt;"&amp;AY83+1))</f>
        <v>#N/A</v>
      </c>
      <c r="BA83" s="8" t="e">
        <f>IF(ISNA(AY83),NA(),SUMIFS(Detalle_facturado!T2:T100000,Detalle_facturado!A2:A100000,"&gt;="&amp;AY83,Detalle_facturado!A2:A100000,"&lt;"&amp;AY83+1))</f>
        <v>#N/A</v>
      </c>
    </row>
    <row r="84" spans="37:53">
      <c r="AK84" s="8" t="str">
        <f>INDEX($AK$13:$AK$76,MATCH(4,$AM$13:$AM$76,0))</f>
        <v>Amazon EC2</v>
      </c>
      <c r="AL84" s="8">
        <f>INDEX($AL$13:$AL$76,MATCH(4,$AM$13:$AM$76,0))</f>
        <v>5814352.4345865911</v>
      </c>
      <c r="AO84" s="8" t="str">
        <f>INDEX($AO$13:$AO$34,MATCH(4,$AQ$13:$AQ$34,0))</f>
        <v>Busqueda y analitica</v>
      </c>
      <c r="AP84" s="8">
        <f>INDEX($AP$13:$AP$34,MATCH(4,$AQ$13:$AQ$34,0))</f>
        <v>3371362.1955144969</v>
      </c>
      <c r="AY84" s="9" t="e">
        <f>IF(AY83&lt;INT(MAX(Detalle_facturado!A2:A100000)),AY83+1,NA())</f>
        <v>#N/A</v>
      </c>
      <c r="AZ84" s="8" t="e">
        <f>IF(ISNA(AY84),NA(),SUMIFS(Detalle_facturado!W2:W100000,Detalle_facturado!A2:A100000,"&gt;="&amp;AY84,Detalle_facturado!A2:A100000,"&lt;"&amp;AY84+1))</f>
        <v>#N/A</v>
      </c>
      <c r="BA84" s="8" t="e">
        <f>IF(ISNA(AY84),NA(),SUMIFS(Detalle_facturado!T2:T100000,Detalle_facturado!A2:A100000,"&gt;="&amp;AY84,Detalle_facturado!A2:A100000,"&lt;"&amp;AY84+1))</f>
        <v>#N/A</v>
      </c>
    </row>
    <row r="85" spans="37:53">
      <c r="AK85" s="8" t="str">
        <f>INDEX($AK$13:$AK$76,MATCH(5,$AM$13:$AM$76,0))</f>
        <v>Amazon ECS / Fargate</v>
      </c>
      <c r="AL85" s="8">
        <f>INDEX($AL$13:$AL$76,MATCH(5,$AM$13:$AM$76,0))</f>
        <v>3462110.684088117</v>
      </c>
      <c r="AO85" s="8" t="str">
        <f>INDEX($AO$13:$AO$34,MATCH(5,$AQ$13:$AQ$34,0))</f>
        <v>Base de datos</v>
      </c>
      <c r="AP85" s="8">
        <f>INDEX($AP$13:$AP$34,MATCH(5,$AQ$13:$AQ$34,0))</f>
        <v>2873413.6992064477</v>
      </c>
      <c r="AY85" s="9" t="e">
        <f>IF(AY84&lt;INT(MAX(Detalle_facturado!A2:A100000)),AY84+1,NA())</f>
        <v>#N/A</v>
      </c>
      <c r="AZ85" s="8" t="e">
        <f>IF(ISNA(AY85),NA(),SUMIFS(Detalle_facturado!W2:W100000,Detalle_facturado!A2:A100000,"&gt;="&amp;AY85,Detalle_facturado!A2:A100000,"&lt;"&amp;AY85+1))</f>
        <v>#N/A</v>
      </c>
      <c r="BA85" s="8" t="e">
        <f>IF(ISNA(AY85),NA(),SUMIFS(Detalle_facturado!T2:T100000,Detalle_facturado!A2:A100000,"&gt;="&amp;AY85,Detalle_facturado!A2:A100000,"&lt;"&amp;AY85+1))</f>
        <v>#N/A</v>
      </c>
    </row>
    <row r="86" spans="37:53">
      <c r="AK86" s="8" t="str">
        <f>INDEX($AK$13:$AK$76,MATCH(6,$AM$13:$AM$76,0))</f>
        <v>Amazon OpenSearch Service</v>
      </c>
      <c r="AL86" s="8">
        <f>INDEX($AL$13:$AL$76,MATCH(6,$AM$13:$AM$76,0))</f>
        <v>3371362.1955144969</v>
      </c>
      <c r="AO86" s="8" t="str">
        <f>INDEX($AO$13:$AO$34,MATCH(6,$AQ$13:$AQ$34,0))</f>
        <v>Operaciones y gestion</v>
      </c>
      <c r="AP86" s="8">
        <f>INDEX($AP$13:$AP$34,MATCH(6,$AQ$13:$AQ$34,0))</f>
        <v>1725418.3072412801</v>
      </c>
      <c r="AY86" s="9" t="e">
        <f>IF(AY85&lt;INT(MAX(Detalle_facturado!A2:A100000)),AY85+1,NA())</f>
        <v>#N/A</v>
      </c>
      <c r="AZ86" s="8" t="e">
        <f>IF(ISNA(AY86),NA(),SUMIFS(Detalle_facturado!W2:W100000,Detalle_facturado!A2:A100000,"&gt;="&amp;AY86,Detalle_facturado!A2:A100000,"&lt;"&amp;AY86+1))</f>
        <v>#N/A</v>
      </c>
      <c r="BA86" s="8" t="e">
        <f>IF(ISNA(AY86),NA(),SUMIFS(Detalle_facturado!T2:T100000,Detalle_facturado!A2:A100000,"&gt;="&amp;AY86,Detalle_facturado!A2:A100000,"&lt;"&amp;AY86+1))</f>
        <v>#N/A</v>
      </c>
    </row>
    <row r="87" spans="37:53">
      <c r="AK87" s="8" t="str">
        <f>INDEX($AK$13:$AK$76,MATCH(7,$AM$13:$AM$76,0))</f>
        <v>Amazon RDS</v>
      </c>
      <c r="AL87" s="8">
        <f>INDEX($AL$13:$AL$76,MATCH(7,$AM$13:$AM$76,0))</f>
        <v>2663512.2779829581</v>
      </c>
      <c r="AO87" s="8" t="str">
        <f>INDEX($AO$13:$AO$34,MATCH(7,$AQ$13:$AQ$34,0))</f>
        <v>Observabilidad</v>
      </c>
      <c r="AP87" s="8">
        <f>INDEX($AP$13:$AP$34,MATCH(7,$AQ$13:$AQ$34,0))</f>
        <v>1644558.5339031674</v>
      </c>
      <c r="AY87" s="9" t="e">
        <f>IF(AY86&lt;INT(MAX(Detalle_facturado!A2:A100000)),AY86+1,NA())</f>
        <v>#N/A</v>
      </c>
      <c r="AZ87" s="8" t="e">
        <f>IF(ISNA(AY87),NA(),SUMIFS(Detalle_facturado!W2:W100000,Detalle_facturado!A2:A100000,"&gt;="&amp;AY87,Detalle_facturado!A2:A100000,"&lt;"&amp;AY87+1))</f>
        <v>#N/A</v>
      </c>
      <c r="BA87" s="8" t="e">
        <f>IF(ISNA(AY87),NA(),SUMIFS(Detalle_facturado!T2:T100000,Detalle_facturado!A2:A100000,"&gt;="&amp;AY87,Detalle_facturado!A2:A100000,"&lt;"&amp;AY87+1))</f>
        <v>#N/A</v>
      </c>
    </row>
    <row r="88" spans="37:53">
      <c r="AK88" s="8" t="str">
        <f>INDEX($AK$13:$AK$76,MATCH(8,$AM$13:$AM$76,0))</f>
        <v>Claude Haiku 4.5 (Amazon Bedrock Edition)</v>
      </c>
      <c r="AL88" s="8">
        <f>INDEX($AL$13:$AL$76,MATCH(8,$AM$13:$AM$76,0))</f>
        <v>1818206.5634816634</v>
      </c>
      <c r="AO88" s="8" t="str">
        <f>INDEX($AO$13:$AO$34,MATCH(8,$AQ$13:$AQ$34,0))</f>
        <v>Seguridad</v>
      </c>
      <c r="AP88" s="8">
        <f>INDEX($AP$13:$AP$34,MATCH(8,$AQ$13:$AQ$34,0))</f>
        <v>1559771.2203427898</v>
      </c>
      <c r="AY88" s="9" t="e">
        <f>IF(AY87&lt;INT(MAX(Detalle_facturado!A2:A100000)),AY87+1,NA())</f>
        <v>#N/A</v>
      </c>
      <c r="AZ88" s="8" t="e">
        <f>IF(ISNA(AY88),NA(),SUMIFS(Detalle_facturado!W2:W100000,Detalle_facturado!A2:A100000,"&gt;="&amp;AY88,Detalle_facturado!A2:A100000,"&lt;"&amp;AY88+1))</f>
        <v>#N/A</v>
      </c>
      <c r="BA88" s="8" t="e">
        <f>IF(ISNA(AY88),NA(),SUMIFS(Detalle_facturado!T2:T100000,Detalle_facturado!A2:A100000,"&gt;="&amp;AY88,Detalle_facturado!A2:A100000,"&lt;"&amp;AY88+1))</f>
        <v>#N/A</v>
      </c>
    </row>
    <row r="89" spans="37:53">
      <c r="AK89" s="8" t="str">
        <f>INDEX($AK$13:$AK$76,MATCH(9,$AM$13:$AM$76,0))</f>
        <v>AWS Systems Manager</v>
      </c>
      <c r="AL89" s="8">
        <f>INDEX($AL$13:$AL$76,MATCH(9,$AM$13:$AM$76,0))</f>
        <v>1725418.3072412801</v>
      </c>
      <c r="AO89" s="8" t="str">
        <f>INDEX($AO$13:$AO$34,MATCH(9,$AQ$13:$AQ$34,0))</f>
        <v>Networking</v>
      </c>
      <c r="AP89" s="8">
        <f>INDEX($AP$13:$AP$34,MATCH(9,$AQ$13:$AQ$34,0))</f>
        <v>1404208.8355208738</v>
      </c>
      <c r="AY89" s="9" t="e">
        <f>IF(AY88&lt;INT(MAX(Detalle_facturado!A2:A100000)),AY88+1,NA())</f>
        <v>#N/A</v>
      </c>
      <c r="AZ89" s="8" t="e">
        <f>IF(ISNA(AY89),NA(),SUMIFS(Detalle_facturado!W2:W100000,Detalle_facturado!A2:A100000,"&gt;="&amp;AY89,Detalle_facturado!A2:A100000,"&lt;"&amp;AY89+1))</f>
        <v>#N/A</v>
      </c>
      <c r="BA89" s="8" t="e">
        <f>IF(ISNA(AY89),NA(),SUMIFS(Detalle_facturado!T2:T100000,Detalle_facturado!A2:A100000,"&gt;="&amp;AY89,Detalle_facturado!A2:A100000,"&lt;"&amp;AY89+1))</f>
        <v>#N/A</v>
      </c>
    </row>
    <row r="90" spans="37:53">
      <c r="AK90" s="8" t="str">
        <f>INDEX($AK$13:$AK$76,MATCH(10,$AM$13:$AM$76,0))</f>
        <v>Amazon CloudWatch</v>
      </c>
      <c r="AL90" s="8">
        <f>INDEX($AL$13:$AL$76,MATCH(10,$AM$13:$AM$76,0))</f>
        <v>1638261.2597729689</v>
      </c>
      <c r="AO90" s="8" t="str">
        <f>INDEX($AO$13:$AO$34,MATCH(10,$AQ$13:$AQ$34,0))</f>
        <v>Gobierno y cumplimiento</v>
      </c>
      <c r="AP90" s="8">
        <f>INDEX($AP$13:$AP$34,MATCH(10,$AQ$13:$AQ$34,0))</f>
        <v>1029176.0908800003</v>
      </c>
      <c r="AY90" s="9" t="e">
        <f>IF(AY89&lt;INT(MAX(Detalle_facturado!A2:A100000)),AY89+1,NA())</f>
        <v>#N/A</v>
      </c>
      <c r="AZ90" s="8" t="e">
        <f>IF(ISNA(AY90),NA(),SUMIFS(Detalle_facturado!W2:W100000,Detalle_facturado!A2:A100000,"&gt;="&amp;AY90,Detalle_facturado!A2:A100000,"&lt;"&amp;AY90+1))</f>
        <v>#N/A</v>
      </c>
      <c r="BA90" s="8" t="e">
        <f>IF(ISNA(AY90),NA(),SUMIFS(Detalle_facturado!T2:T100000,Detalle_facturado!A2:A100000,"&gt;="&amp;AY90,Detalle_facturado!A2:A100000,"&lt;"&amp;AY90+1))</f>
        <v>#N/A</v>
      </c>
    </row>
    <row r="91" spans="37:53">
      <c r="AO91" s="8" t="str">
        <f>INDEX($AO$13:$AO$34,MATCH(11,$AQ$13:$AQ$34,0))</f>
        <v>DevOps</v>
      </c>
      <c r="AP91" s="8">
        <f>INDEX($AP$13:$AP$34,MATCH(11,$AQ$13:$AQ$34,0))</f>
        <v>428349.89636029152</v>
      </c>
      <c r="AY91" s="9" t="e">
        <f>IF(AY90&lt;INT(MAX(Detalle_facturado!A2:A100000)),AY90+1,NA())</f>
        <v>#N/A</v>
      </c>
      <c r="AZ91" s="8" t="e">
        <f>IF(ISNA(AY91),NA(),SUMIFS(Detalle_facturado!W2:W100000,Detalle_facturado!A2:A100000,"&gt;="&amp;AY91,Detalle_facturado!A2:A100000,"&lt;"&amp;AY91+1))</f>
        <v>#N/A</v>
      </c>
      <c r="BA91" s="8" t="e">
        <f>IF(ISNA(AY91),NA(),SUMIFS(Detalle_facturado!T2:T100000,Detalle_facturado!A2:A100000,"&gt;="&amp;AY91,Detalle_facturado!A2:A100000,"&lt;"&amp;AY91+1))</f>
        <v>#N/A</v>
      </c>
    </row>
    <row r="92" spans="37:53">
      <c r="AO92" s="8" t="str">
        <f>INDEX($AO$13:$AO$34,MATCH(12,$AQ$13:$AQ$34,0))</f>
        <v>Storage</v>
      </c>
      <c r="AP92" s="8">
        <f>INDEX($AP$13:$AP$34,MATCH(12,$AQ$13:$AQ$34,0))</f>
        <v>186615.91350454258</v>
      </c>
      <c r="AY92" s="9" t="e">
        <f>IF(AY91&lt;INT(MAX(Detalle_facturado!A2:A100000)),AY91+1,NA())</f>
        <v>#N/A</v>
      </c>
      <c r="AZ92" s="8" t="e">
        <f>IF(ISNA(AY92),NA(),SUMIFS(Detalle_facturado!W2:W100000,Detalle_facturado!A2:A100000,"&gt;="&amp;AY92,Detalle_facturado!A2:A100000,"&lt;"&amp;AY92+1))</f>
        <v>#N/A</v>
      </c>
      <c r="BA92" s="8" t="e">
        <f>IF(ISNA(AY92),NA(),SUMIFS(Detalle_facturado!T2:T100000,Detalle_facturado!A2:A100000,"&gt;="&amp;AY92,Detalle_facturado!A2:A100000,"&lt;"&amp;AY92+1))</f>
        <v>#N/A</v>
      </c>
    </row>
    <row r="93" spans="37:53">
      <c r="AO93" s="8" t="str">
        <f>INDEX($AO$13:$AO$34,MATCH(13,$AQ$13:$AQ$34,0))</f>
        <v>Productividad de desarrollo</v>
      </c>
      <c r="AP93" s="8">
        <f>INDEX($AP$13:$AP$34,MATCH(13,$AQ$13:$AQ$34,0))</f>
        <v>132056.07016823205</v>
      </c>
      <c r="AY93" s="9" t="e">
        <f>IF(AY92&lt;INT(MAX(Detalle_facturado!A2:A100000)),AY92+1,NA())</f>
        <v>#N/A</v>
      </c>
      <c r="AZ93" s="8" t="e">
        <f>IF(ISNA(AY93),NA(),SUMIFS(Detalle_facturado!W2:W100000,Detalle_facturado!A2:A100000,"&gt;="&amp;AY93,Detalle_facturado!A2:A100000,"&lt;"&amp;AY93+1))</f>
        <v>#N/A</v>
      </c>
      <c r="BA93" s="8" t="e">
        <f>IF(ISNA(AY93),NA(),SUMIFS(Detalle_facturado!T2:T100000,Detalle_facturado!A2:A100000,"&gt;="&amp;AY93,Detalle_facturado!A2:A100000,"&lt;"&amp;AY93+1))</f>
        <v>#N/A</v>
      </c>
    </row>
    <row r="94" spans="37:53">
      <c r="AO94" s="8" t="str">
        <f>INDEX($AO$13:$AO$34,MATCH(14,$AQ$13:$AQ$34,0))</f>
        <v>Integracion y mensajeria</v>
      </c>
      <c r="AP94" s="8">
        <f>INDEX($AP$13:$AP$34,MATCH(14,$AQ$13:$AQ$34,0))</f>
        <v>122977.63889039947</v>
      </c>
      <c r="AY94" s="9" t="e">
        <f>IF(AY93&lt;INT(MAX(Detalle_facturado!A2:A100000)),AY93+1,NA())</f>
        <v>#N/A</v>
      </c>
      <c r="AZ94" s="8" t="e">
        <f>IF(ISNA(AY94),NA(),SUMIFS(Detalle_facturado!W2:W100000,Detalle_facturado!A2:A100000,"&gt;="&amp;AY94,Detalle_facturado!A2:A100000,"&lt;"&amp;AY94+1))</f>
        <v>#N/A</v>
      </c>
      <c r="BA94" s="8" t="e">
        <f>IF(ISNA(AY94),NA(),SUMIFS(Detalle_facturado!T2:T100000,Detalle_facturado!A2:A100000,"&gt;="&amp;AY94,Detalle_facturado!A2:A100000,"&lt;"&amp;AY94+1))</f>
        <v>#N/A</v>
      </c>
    </row>
    <row r="95" spans="37:53">
      <c r="AO95" s="8" t="str">
        <f>INDEX($AO$13:$AO$34,MATCH(15,$AQ$13:$AQ$34,0))</f>
        <v>Marketplace y software de terceros</v>
      </c>
      <c r="AP95" s="8">
        <f>INDEX($AP$13:$AP$34,MATCH(15,$AQ$13:$AQ$34,0))</f>
        <v>59652.211199999954</v>
      </c>
      <c r="AY95" s="9" t="e">
        <f>IF(AY94&lt;INT(MAX(Detalle_facturado!A2:A100000)),AY94+1,NA())</f>
        <v>#N/A</v>
      </c>
      <c r="AZ95" s="8" t="e">
        <f>IF(ISNA(AY95),NA(),SUMIFS(Detalle_facturado!W2:W100000,Detalle_facturado!A2:A100000,"&gt;="&amp;AY95,Detalle_facturado!A2:A100000,"&lt;"&amp;AY95+1))</f>
        <v>#N/A</v>
      </c>
      <c r="BA95" s="8" t="e">
        <f>IF(ISNA(AY95),NA(),SUMIFS(Detalle_facturado!T2:T100000,Detalle_facturado!A2:A100000,"&gt;="&amp;AY95,Detalle_facturado!A2:A100000,"&lt;"&amp;AY95+1))</f>
        <v>#N/A</v>
      </c>
    </row>
    <row r="96" spans="37:53">
      <c r="AO96" s="8" t="str">
        <f>INDEX($AO$13:$AO$34,MATCH(16,$AQ$13:$AQ$34,0))</f>
        <v>FinOps</v>
      </c>
      <c r="AP96" s="8">
        <f>INDEX($AP$13:$AP$34,MATCH(16,$AQ$13:$AQ$34,0))</f>
        <v>31682.547215241164</v>
      </c>
      <c r="AY96" s="9" t="e">
        <f>IF(AY95&lt;INT(MAX(Detalle_facturado!A2:A100000)),AY95+1,NA())</f>
        <v>#N/A</v>
      </c>
      <c r="AZ96" s="8" t="e">
        <f>IF(ISNA(AY96),NA(),SUMIFS(Detalle_facturado!W2:W100000,Detalle_facturado!A2:A100000,"&gt;="&amp;AY96,Detalle_facturado!A2:A100000,"&lt;"&amp;AY96+1))</f>
        <v>#N/A</v>
      </c>
      <c r="BA96" s="8" t="e">
        <f>IF(ISNA(AY96),NA(),SUMIFS(Detalle_facturado!T2:T100000,Detalle_facturado!A2:A100000,"&gt;="&amp;AY96,Detalle_facturado!A2:A100000,"&lt;"&amp;AY96+1))</f>
        <v>#N/A</v>
      </c>
    </row>
    <row r="97" spans="41:53">
      <c r="AO97" s="8" t="str">
        <f>INDEX($AO$13:$AO$34,MATCH(17,$AQ$13:$AQ$34,0))</f>
        <v>Integracion y orquestacion</v>
      </c>
      <c r="AP97" s="8">
        <f>INDEX($AP$13:$AP$34,MATCH(17,$AQ$13:$AQ$34,0))</f>
        <v>23076.298537744195</v>
      </c>
      <c r="AY97" s="9" t="e">
        <f>IF(AY96&lt;INT(MAX(Detalle_facturado!A2:A100000)),AY96+1,NA())</f>
        <v>#N/A</v>
      </c>
      <c r="AZ97" s="8" t="e">
        <f>IF(ISNA(AY97),NA(),SUMIFS(Detalle_facturado!W2:W100000,Detalle_facturado!A2:A100000,"&gt;="&amp;AY97,Detalle_facturado!A2:A100000,"&lt;"&amp;AY97+1))</f>
        <v>#N/A</v>
      </c>
      <c r="BA97" s="8" t="e">
        <f>IF(ISNA(AY97),NA(),SUMIFS(Detalle_facturado!T2:T100000,Detalle_facturado!A2:A100000,"&gt;="&amp;AY97,Detalle_facturado!A2:A100000,"&lt;"&amp;AY97+1))</f>
        <v>#N/A</v>
      </c>
    </row>
    <row r="98" spans="41:53">
      <c r="AO98" s="8" t="str">
        <f>INDEX($AO$13:$AO$34,MATCH(18,$AQ$13:$AQ$34,0))</f>
        <v>ML</v>
      </c>
      <c r="AP98" s="8">
        <f>INDEX($AP$13:$AP$34,MATCH(18,$AQ$13:$AQ$34,0))</f>
        <v>7183.922058298177</v>
      </c>
      <c r="AY98" s="9" t="e">
        <f>IF(AY97&lt;INT(MAX(Detalle_facturado!A2:A100000)),AY97+1,NA())</f>
        <v>#N/A</v>
      </c>
      <c r="AZ98" s="8" t="e">
        <f>IF(ISNA(AY98),NA(),SUMIFS(Detalle_facturado!W2:W100000,Detalle_facturado!A2:A100000,"&gt;="&amp;AY98,Detalle_facturado!A2:A100000,"&lt;"&amp;AY98+1))</f>
        <v>#N/A</v>
      </c>
      <c r="BA98" s="8" t="e">
        <f>IF(ISNA(AY98),NA(),SUMIFS(Detalle_facturado!T2:T100000,Detalle_facturado!A2:A100000,"&gt;="&amp;AY98,Detalle_facturado!A2:A100000,"&lt;"&amp;AY98+1))</f>
        <v>#N/A</v>
      </c>
    </row>
    <row r="99" spans="41:53">
      <c r="AO99" s="8" t="str">
        <f>INDEX($AO$13:$AO$34,MATCH(19,$AQ$13:$AQ$34,0))</f>
        <v>Gobierno de datos</v>
      </c>
      <c r="AP99" s="8">
        <f>INDEX($AP$13:$AP$34,MATCH(19,$AQ$13:$AQ$34,0))</f>
        <v>1814.6941406048243</v>
      </c>
      <c r="AY99" s="9" t="e">
        <f>IF(AY98&lt;INT(MAX(Detalle_facturado!A2:A100000)),AY98+1,NA())</f>
        <v>#N/A</v>
      </c>
      <c r="AZ99" s="8" t="e">
        <f>IF(ISNA(AY99),NA(),SUMIFS(Detalle_facturado!W2:W100000,Detalle_facturado!A2:A100000,"&gt;="&amp;AY99,Detalle_facturado!A2:A100000,"&lt;"&amp;AY99+1))</f>
        <v>#N/A</v>
      </c>
      <c r="BA99" s="8" t="e">
        <f>IF(ISNA(AY99),NA(),SUMIFS(Detalle_facturado!T2:T100000,Detalle_facturado!A2:A100000,"&gt;="&amp;AY99,Detalle_facturado!A2:A100000,"&lt;"&amp;AY99+1))</f>
        <v>#N/A</v>
      </c>
    </row>
    <row r="100" spans="41:53">
      <c r="AO100" s="8" t="str">
        <f>INDEX($AO$13:$AO$34,MATCH(20,$AQ$13:$AQ$34,0))</f>
        <v>Comunicaciones</v>
      </c>
      <c r="AP100" s="8">
        <f>INDEX($AP$13:$AP$34,MATCH(20,$AQ$13:$AQ$34,0))</f>
        <v>452.95642181772803</v>
      </c>
      <c r="AY100" s="9" t="e">
        <f>IF(AY99&lt;INT(MAX(Detalle_facturado!A2:A100000)),AY99+1,NA())</f>
        <v>#N/A</v>
      </c>
      <c r="AZ100" s="8" t="e">
        <f>IF(ISNA(AY100),NA(),SUMIFS(Detalle_facturado!W2:W100000,Detalle_facturado!A2:A100000,"&gt;="&amp;AY100,Detalle_facturado!A2:A100000,"&lt;"&amp;AY100+1))</f>
        <v>#N/A</v>
      </c>
      <c r="BA100" s="8" t="e">
        <f>IF(ISNA(AY100),NA(),SUMIFS(Detalle_facturado!T2:T100000,Detalle_facturado!A2:A100000,"&gt;="&amp;AY100,Detalle_facturado!A2:A100000,"&lt;"&amp;AY100+1))</f>
        <v>#N/A</v>
      </c>
    </row>
    <row r="101" spans="41:53">
      <c r="AO101" s="8" t="str">
        <f>INDEX($AO$13:$AO$34,MATCH(21,$AQ$13:$AQ$34,0))</f>
        <v>Backup y resiliencia</v>
      </c>
      <c r="AP101" s="8">
        <f>INDEX($AP$13:$AP$34,MATCH(21,$AQ$13:$AQ$34,0))</f>
        <v>113.62491673033193</v>
      </c>
      <c r="AY101" s="9" t="e">
        <f>IF(AY100&lt;INT(MAX(Detalle_facturado!A2:A100000)),AY100+1,NA())</f>
        <v>#N/A</v>
      </c>
      <c r="AZ101" s="8" t="e">
        <f>IF(ISNA(AY101),NA(),SUMIFS(Detalle_facturado!W2:W100000,Detalle_facturado!A2:A100000,"&gt;="&amp;AY101,Detalle_facturado!A2:A100000,"&lt;"&amp;AY101+1))</f>
        <v>#N/A</v>
      </c>
      <c r="BA101" s="8" t="e">
        <f>IF(ISNA(AY101),NA(),SUMIFS(Detalle_facturado!T2:T100000,Detalle_facturado!A2:A100000,"&gt;="&amp;AY101,Detalle_facturado!A2:A100000,"&lt;"&amp;AY101+1))</f>
        <v>#N/A</v>
      </c>
    </row>
    <row r="102" spans="41:53">
      <c r="AO102" s="8" t="str">
        <f>INDEX($AO$13:$AO$34,MATCH(22,$AQ$13:$AQ$34,0))</f>
        <v>Computo</v>
      </c>
      <c r="AP102" s="8">
        <f>INDEX($AP$13:$AP$34,MATCH(22,$AQ$13:$AQ$34,0))</f>
        <v>0</v>
      </c>
      <c r="AY102" s="9" t="e">
        <f>IF(AY101&lt;INT(MAX(Detalle_facturado!A2:A100000)),AY101+1,NA())</f>
        <v>#N/A</v>
      </c>
      <c r="AZ102" s="8" t="e">
        <f>IF(ISNA(AY102),NA(),SUMIFS(Detalle_facturado!W2:W100000,Detalle_facturado!A2:A100000,"&gt;="&amp;AY102,Detalle_facturado!A2:A100000,"&lt;"&amp;AY102+1))</f>
        <v>#N/A</v>
      </c>
      <c r="BA102" s="8" t="e">
        <f>IF(ISNA(AY102),NA(),SUMIFS(Detalle_facturado!T2:T100000,Detalle_facturado!A2:A100000,"&gt;="&amp;AY102,Detalle_facturado!A2:A100000,"&lt;"&amp;AY102+1))</f>
        <v>#N/A</v>
      </c>
    </row>
    <row r="103" spans="41:53">
      <c r="AY103" s="9" t="e">
        <f>IF(AY102&lt;INT(MAX(Detalle_facturado!A2:A100000)),AY102+1,NA())</f>
        <v>#N/A</v>
      </c>
      <c r="AZ103" s="8" t="e">
        <f>IF(ISNA(AY103),NA(),SUMIFS(Detalle_facturado!W2:W100000,Detalle_facturado!A2:A100000,"&gt;="&amp;AY103,Detalle_facturado!A2:A100000,"&lt;"&amp;AY103+1))</f>
        <v>#N/A</v>
      </c>
      <c r="BA103" s="8" t="e">
        <f>IF(ISNA(AY103),NA(),SUMIFS(Detalle_facturado!T2:T100000,Detalle_facturado!A2:A100000,"&gt;="&amp;AY103,Detalle_facturado!A2:A100000,"&lt;"&amp;AY103+1))</f>
        <v>#N/A</v>
      </c>
    </row>
    <row r="104" spans="41:53">
      <c r="AY104" s="9" t="e">
        <f>IF(AY103&lt;INT(MAX(Detalle_facturado!A2:A100000)),AY103+1,NA())</f>
        <v>#N/A</v>
      </c>
      <c r="AZ104" s="8" t="e">
        <f>IF(ISNA(AY104),NA(),SUMIFS(Detalle_facturado!W2:W100000,Detalle_facturado!A2:A100000,"&gt;="&amp;AY104,Detalle_facturado!A2:A100000,"&lt;"&amp;AY104+1))</f>
        <v>#N/A</v>
      </c>
      <c r="BA104" s="8" t="e">
        <f>IF(ISNA(AY104),NA(),SUMIFS(Detalle_facturado!T2:T100000,Detalle_facturado!A2:A100000,"&gt;="&amp;AY104,Detalle_facturado!A2:A100000,"&lt;"&amp;AY104+1))</f>
        <v>#N/A</v>
      </c>
    </row>
    <row r="105" spans="41:53">
      <c r="AY105" s="9" t="e">
        <f>IF(AY104&lt;INT(MAX(Detalle_facturado!A2:A100000)),AY104+1,NA())</f>
        <v>#N/A</v>
      </c>
      <c r="AZ105" s="8" t="e">
        <f>IF(ISNA(AY105),NA(),SUMIFS(Detalle_facturado!W2:W100000,Detalle_facturado!A2:A100000,"&gt;="&amp;AY105,Detalle_facturado!A2:A100000,"&lt;"&amp;AY105+1))</f>
        <v>#N/A</v>
      </c>
      <c r="BA105" s="8" t="e">
        <f>IF(ISNA(AY105),NA(),SUMIFS(Detalle_facturado!T2:T100000,Detalle_facturado!A2:A100000,"&gt;="&amp;AY105,Detalle_facturado!A2:A100000,"&lt;"&amp;AY105+1))</f>
        <v>#N/A</v>
      </c>
    </row>
    <row r="106" spans="41:53">
      <c r="AY106" s="9" t="e">
        <f>IF(AY105&lt;INT(MAX(Detalle_facturado!A2:A100000)),AY105+1,NA())</f>
        <v>#N/A</v>
      </c>
      <c r="AZ106" s="8" t="e">
        <f>IF(ISNA(AY106),NA(),SUMIFS(Detalle_facturado!W2:W100000,Detalle_facturado!A2:A100000,"&gt;="&amp;AY106,Detalle_facturado!A2:A100000,"&lt;"&amp;AY106+1))</f>
        <v>#N/A</v>
      </c>
      <c r="BA106" s="8" t="e">
        <f>IF(ISNA(AY106),NA(),SUMIFS(Detalle_facturado!T2:T100000,Detalle_facturado!A2:A100000,"&gt;="&amp;AY106,Detalle_facturado!A2:A100000,"&lt;"&amp;AY106+1))</f>
        <v>#N/A</v>
      </c>
    </row>
    <row r="107" spans="41:53">
      <c r="AY107" s="9" t="e">
        <f>IF(AY106&lt;INT(MAX(Detalle_facturado!A2:A100000)),AY106+1,NA())</f>
        <v>#N/A</v>
      </c>
      <c r="AZ107" s="8" t="e">
        <f>IF(ISNA(AY107),NA(),SUMIFS(Detalle_facturado!W2:W100000,Detalle_facturado!A2:A100000,"&gt;="&amp;AY107,Detalle_facturado!A2:A100000,"&lt;"&amp;AY107+1))</f>
        <v>#N/A</v>
      </c>
      <c r="BA107" s="8" t="e">
        <f>IF(ISNA(AY107),NA(),SUMIFS(Detalle_facturado!T2:T100000,Detalle_facturado!A2:A100000,"&gt;="&amp;AY107,Detalle_facturado!A2:A100000,"&lt;"&amp;AY107+1))</f>
        <v>#N/A</v>
      </c>
    </row>
    <row r="108" spans="41:53">
      <c r="AY108" s="9" t="e">
        <f>IF(AY107&lt;INT(MAX(Detalle_facturado!A2:A100000)),AY107+1,NA())</f>
        <v>#N/A</v>
      </c>
      <c r="AZ108" s="8" t="e">
        <f>IF(ISNA(AY108),NA(),SUMIFS(Detalle_facturado!W2:W100000,Detalle_facturado!A2:A100000,"&gt;="&amp;AY108,Detalle_facturado!A2:A100000,"&lt;"&amp;AY108+1))</f>
        <v>#N/A</v>
      </c>
      <c r="BA108" s="8" t="e">
        <f>IF(ISNA(AY108),NA(),SUMIFS(Detalle_facturado!T2:T100000,Detalle_facturado!A2:A100000,"&gt;="&amp;AY108,Detalle_facturado!A2:A100000,"&lt;"&amp;AY108+1))</f>
        <v>#N/A</v>
      </c>
    </row>
    <row r="109" spans="41:53">
      <c r="AY109" s="9" t="e">
        <f>IF(AY108&lt;INT(MAX(Detalle_facturado!A2:A100000)),AY108+1,NA())</f>
        <v>#N/A</v>
      </c>
      <c r="AZ109" s="8" t="e">
        <f>IF(ISNA(AY109),NA(),SUMIFS(Detalle_facturado!W2:W100000,Detalle_facturado!A2:A100000,"&gt;="&amp;AY109,Detalle_facturado!A2:A100000,"&lt;"&amp;AY109+1))</f>
        <v>#N/A</v>
      </c>
      <c r="BA109" s="8" t="e">
        <f>IF(ISNA(AY109),NA(),SUMIFS(Detalle_facturado!T2:T100000,Detalle_facturado!A2:A100000,"&gt;="&amp;AY109,Detalle_facturado!A2:A100000,"&lt;"&amp;AY109+1))</f>
        <v>#N/A</v>
      </c>
    </row>
    <row r="110" spans="41:53">
      <c r="AY110" s="9" t="e">
        <f>IF(AY109&lt;INT(MAX(Detalle_facturado!A2:A100000)),AY109+1,NA())</f>
        <v>#N/A</v>
      </c>
      <c r="AZ110" s="8" t="e">
        <f>IF(ISNA(AY110),NA(),SUMIFS(Detalle_facturado!W2:W100000,Detalle_facturado!A2:A100000,"&gt;="&amp;AY110,Detalle_facturado!A2:A100000,"&lt;"&amp;AY110+1))</f>
        <v>#N/A</v>
      </c>
      <c r="BA110" s="8" t="e">
        <f>IF(ISNA(AY110),NA(),SUMIFS(Detalle_facturado!T2:T100000,Detalle_facturado!A2:A100000,"&gt;="&amp;AY110,Detalle_facturado!A2:A100000,"&lt;"&amp;AY110+1))</f>
        <v>#N/A</v>
      </c>
    </row>
    <row r="111" spans="41:53">
      <c r="AY111" s="9" t="e">
        <f>IF(AY110&lt;INT(MAX(Detalle_facturado!A2:A100000)),AY110+1,NA())</f>
        <v>#N/A</v>
      </c>
      <c r="AZ111" s="8" t="e">
        <f>IF(ISNA(AY111),NA(),SUMIFS(Detalle_facturado!W2:W100000,Detalle_facturado!A2:A100000,"&gt;="&amp;AY111,Detalle_facturado!A2:A100000,"&lt;"&amp;AY111+1))</f>
        <v>#N/A</v>
      </c>
      <c r="BA111" s="8" t="e">
        <f>IF(ISNA(AY111),NA(),SUMIFS(Detalle_facturado!T2:T100000,Detalle_facturado!A2:A100000,"&gt;="&amp;AY111,Detalle_facturado!A2:A100000,"&lt;"&amp;AY111+1))</f>
        <v>#N/A</v>
      </c>
    </row>
    <row r="112" spans="41:53">
      <c r="AY112" s="9" t="e">
        <f>IF(AY111&lt;INT(MAX(Detalle_facturado!A2:A100000)),AY111+1,NA())</f>
        <v>#N/A</v>
      </c>
      <c r="AZ112" s="8" t="e">
        <f>IF(ISNA(AY112),NA(),SUMIFS(Detalle_facturado!W2:W100000,Detalle_facturado!A2:A100000,"&gt;="&amp;AY112,Detalle_facturado!A2:A100000,"&lt;"&amp;AY112+1))</f>
        <v>#N/A</v>
      </c>
      <c r="BA112" s="8" t="e">
        <f>IF(ISNA(AY112),NA(),SUMIFS(Detalle_facturado!T2:T100000,Detalle_facturado!A2:A100000,"&gt;="&amp;AY112,Detalle_facturado!A2:A100000,"&lt;"&amp;AY112+1))</f>
        <v>#N/A</v>
      </c>
    </row>
    <row r="131" ht="19.899999999999999" customHeight="1"/>
    <row r="132" ht="19.899999999999999" customHeight="1"/>
    <row r="133" ht="19.899999999999999" customHeight="1"/>
    <row r="134" ht="19.899999999999999" customHeight="1"/>
    <row r="135" ht="19.899999999999999" customHeight="1"/>
    <row r="136" ht="19.899999999999999" customHeight="1"/>
    <row r="137" ht="19.899999999999999" customHeight="1"/>
    <row r="138" ht="19.899999999999999" customHeight="1"/>
    <row r="139" ht="19.899999999999999" customHeight="1"/>
    <row r="140" ht="19.899999999999999" customHeight="1"/>
    <row r="142" ht="13.9" customHeight="1"/>
    <row r="232" spans="1:13" ht="15.6">
      <c r="A232" s="71" t="s">
        <v>182</v>
      </c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</row>
    <row r="233" spans="1:13" ht="19.899999999999999" customHeight="1">
      <c r="A233" s="14" t="str">
        <f>"1. GenAI concentra "&amp;TEXT(J8,"0.0%")&amp;" del total facturable."</f>
        <v>1. GenAI concentra 70% del total facturable.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spans="1:13" ht="19.899999999999999" customHeight="1">
      <c r="A234" s="15" t="str">
        <f>"2. El modelo de mayor costo es "&amp;BC13&amp;" con "&amp;TEXT(SUM(BD13:BE13),"[$COP] #,##0")&amp;" entre consumo AWS y licenciamiento."</f>
        <v>2. El modelo de mayor costo es Claude Opus 4.6 con COP 120911547,132 entre consumo AWS y licenciamiento.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spans="1:13" ht="19.899999999999999" customHeight="1">
      <c r="A235" s="14" t="str">
        <f>"3. Los tres servicios principales concentran "&amp;TEXT(SUM(AL81:AL83)/A4,"0.0%")&amp;" del total; existe alta dependencia de pocos componentes."</f>
        <v>3. Los tres servicios principales concentran 84% del total; existe alta dependencia de pocos componentes.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spans="1:13" ht="19.899999999999999" customHeight="1">
      <c r="A236" s="15" t="str">
        <f>"4. El licenciamiento representa "&amp;TEXT(J4,"0.0%")&amp;" y debe analizarse separado del consumo AWS."</f>
        <v>4. El licenciamiento representa 28% y debe analizarse separado del consumo AWS.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spans="1:13" ht="19.899999999999999" customHeight="1">
      <c r="A237" s="14" t="str">
        <f>"5. Distribucion del costo AWS: Procesamiento "&amp;TEXT(A8/D4,"0.0%")&amp;", Plataforma prod. y soporte "&amp;TEXT(D8/D4,"0.0%")&amp;" y Pruebas "&amp;TEXT(G8/D4,"0.0%")&amp;"."</f>
        <v>5. Distribucion del costo AWS: Procesamiento 51%, Plataforma prod. y soporte 26% y Pruebas 24%.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spans="1:13" ht="19.899999999999999" customHeight="1">
      <c r="A238" s="15" t="str">
        <f>"6. El mayor consumo diario ocurrió el "&amp;TEXT(INDEX(AY13:AY46,MATCH(MAX(AZ13:AZ46),AZ13:AZ46,0)),"DD/MM/YYYY")&amp;" por COP "&amp;ROUND(MAX(AZ13:AZ46),0)&amp;"."</f>
        <v>6. El mayor consumo diario ocurrió el 14/08/2026 por COP 70049349.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spans="1:13" ht="19.899999999999999" customHeight="1">
      <c r="A239" s="14" t="str">
        <f>"7. La cuenta con mayor costo es "&amp;INDEX(AS13:AS20,MATCH(MAX(AT13:AT20),AT13:AT20,0))&amp;" con "&amp;TEXT(MAX(AT13:AT20)/A4,"0.0%")&amp;" del total."</f>
        <v>7. La cuenta con mayor costo es ADRES - PROD - Medical Audit con 69% del total.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spans="1:13" ht="19.899999999999999" customHeight="1">
      <c r="A240" s="15" t="str">
        <f>"8. Produccion concentra "&amp;TEXT(SUMIF(Detalle_facturado!E2:E100000,"Prod",Detalle_facturado!W2:W100000)/A4,"0.0%")&amp;" y pruebas el "&amp;TEXT(SUMIF(Detalle_facturado!E2:E100000,"Test",Detalle_facturado!W2:W100000)/A4,"0.0%")&amp;"."</f>
        <v>8. Produccion concentra 82% y pruebas el 18%.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spans="1:13" ht="19.899999999999999" customHeight="1">
      <c r="A241" s="14" t="str">
        <f>"9. Las tres categorias principales concentran "&amp;TEXT(SUM(AP81:AP83)/A4,"0.0%")&amp;" del total facturable."</f>
        <v>9. Las tres categorias principales concentran 87% del total facturable.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ht="19.899999999999999" customHeight="1">
      <c r="A242" s="15" t="str">
        <f>"10. El costo facturable promedio por dia del periodo es COP "&amp;ROUND(A4/(MAX(Detalle_facturado!A2:A100000)-MIN(Detalle_facturado!A2:A100000)+1),0)&amp;"."</f>
        <v>10. El costo facturable promedio por dia del periodo es COP 5090574.</v>
      </c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4" spans="1:13" ht="13.9" customHeight="1">
      <c r="A244" s="62" t="s">
        <v>183</v>
      </c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</row>
    <row r="245" spans="1:13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</row>
    <row r="248" spans="1:13" ht="15.6">
      <c r="A248" s="71" t="s">
        <v>184</v>
      </c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</row>
    <row r="249" spans="1:13">
      <c r="A249" s="63" t="s">
        <v>68</v>
      </c>
      <c r="B249" s="63"/>
      <c r="C249" s="63" t="s">
        <v>72</v>
      </c>
      <c r="D249" s="63"/>
      <c r="E249" s="63"/>
      <c r="F249" s="63" t="s">
        <v>74</v>
      </c>
      <c r="G249" s="63"/>
      <c r="H249" s="63"/>
      <c r="I249" s="63" t="s">
        <v>66</v>
      </c>
      <c r="J249" s="63"/>
      <c r="K249" s="63"/>
      <c r="L249" s="63" t="s">
        <v>185</v>
      </c>
      <c r="M249" s="63"/>
    </row>
    <row r="250" spans="1:13" ht="14.85" customHeight="1">
      <c r="A250" s="72" t="str">
        <f t="shared" ref="A250:A271" si="14">AO81</f>
        <v>GenAI</v>
      </c>
      <c r="B250" s="72"/>
      <c r="C250" s="72">
        <f>SUMIF(Detalle_facturado!AB2:AB100000,A250,Detalle_facturado!T2:T100000)</f>
        <v>75192344.077459127</v>
      </c>
      <c r="D250" s="72"/>
      <c r="E250" s="72"/>
      <c r="F250" s="72">
        <f>SUMIF(Detalle_facturado!AB2:AB100000,A250,Detalle_facturado!V2:V100000)</f>
        <v>49478873.085997693</v>
      </c>
      <c r="G250" s="72"/>
      <c r="H250" s="72"/>
      <c r="I250" s="72">
        <f t="shared" ref="I250:I271" si="15">AP81</f>
        <v>124671217.16345675</v>
      </c>
      <c r="J250" s="72"/>
      <c r="K250" s="72"/>
      <c r="L250" s="73">
        <f t="shared" ref="L250:L271" si="16">IFERROR(I250/$A$4,0)</f>
        <v>0.70056541724137678</v>
      </c>
      <c r="M250" s="73"/>
    </row>
    <row r="251" spans="1:13" ht="14.85" customHeight="1">
      <c r="A251" s="74" t="str">
        <f t="shared" si="14"/>
        <v>Soporte AWS</v>
      </c>
      <c r="B251" s="74"/>
      <c r="C251" s="74">
        <f>SUMIF(Detalle_facturado!AB2:AB100000,A251,Detalle_facturado!T2:T100000)</f>
        <v>20895270.413999997</v>
      </c>
      <c r="D251" s="74"/>
      <c r="E251" s="74"/>
      <c r="F251" s="74">
        <f>SUMIF(Detalle_facturado!AB2:AB100000,A251,Detalle_facturado!V2:V100000)</f>
        <v>0</v>
      </c>
      <c r="G251" s="74"/>
      <c r="H251" s="74"/>
      <c r="I251" s="74">
        <f t="shared" si="15"/>
        <v>20895270.413999997</v>
      </c>
      <c r="J251" s="74"/>
      <c r="K251" s="74"/>
      <c r="L251" s="75">
        <f t="shared" si="16"/>
        <v>0.11741686789471803</v>
      </c>
      <c r="M251" s="75"/>
    </row>
    <row r="252" spans="1:13" ht="14.85" customHeight="1">
      <c r="A252" s="72" t="str">
        <f t="shared" si="14"/>
        <v>Analitica y BI</v>
      </c>
      <c r="B252" s="72"/>
      <c r="C252" s="72">
        <f>SUMIF(Detalle_facturado!AB2:AB100000,A252,Detalle_facturado!T2:T100000)</f>
        <v>8397938.4288560618</v>
      </c>
      <c r="D252" s="72"/>
      <c r="E252" s="72"/>
      <c r="F252" s="72">
        <f>SUMIF(Detalle_facturado!AB2:AB100000,A252,Detalle_facturado!V2:V100000)</f>
        <v>0</v>
      </c>
      <c r="G252" s="72"/>
      <c r="H252" s="72"/>
      <c r="I252" s="72">
        <f t="shared" si="15"/>
        <v>8397938.4288560618</v>
      </c>
      <c r="J252" s="72"/>
      <c r="K252" s="72"/>
      <c r="L252" s="73">
        <f t="shared" si="16"/>
        <v>4.7190565498893965E-2</v>
      </c>
      <c r="M252" s="73"/>
    </row>
    <row r="253" spans="1:13" ht="14.85" customHeight="1">
      <c r="A253" s="74" t="str">
        <f t="shared" si="14"/>
        <v>Busqueda y analitica</v>
      </c>
      <c r="B253" s="74"/>
      <c r="C253" s="74">
        <f>SUMIF(Detalle_facturado!AB2:AB100000,A253,Detalle_facturado!T2:T100000)</f>
        <v>3371362.1955144969</v>
      </c>
      <c r="D253" s="74"/>
      <c r="E253" s="74"/>
      <c r="F253" s="74">
        <f>SUMIF(Detalle_facturado!AB2:AB100000,A253,Detalle_facturado!V2:V100000)</f>
        <v>0</v>
      </c>
      <c r="G253" s="74"/>
      <c r="H253" s="74"/>
      <c r="I253" s="74">
        <f t="shared" si="15"/>
        <v>3371362.1955144969</v>
      </c>
      <c r="J253" s="74"/>
      <c r="K253" s="74"/>
      <c r="L253" s="75">
        <f t="shared" si="16"/>
        <v>1.8944707663163161E-2</v>
      </c>
      <c r="M253" s="75"/>
    </row>
    <row r="254" spans="1:13" ht="14.85" customHeight="1">
      <c r="A254" s="72" t="str">
        <f t="shared" si="14"/>
        <v>Base de datos</v>
      </c>
      <c r="B254" s="72"/>
      <c r="C254" s="72">
        <f>SUMIF(Detalle_facturado!AB2:AB100000,A254,Detalle_facturado!T2:T100000)</f>
        <v>2873413.6992064477</v>
      </c>
      <c r="D254" s="72"/>
      <c r="E254" s="72"/>
      <c r="F254" s="72">
        <f>SUMIF(Detalle_facturado!AB2:AB100000,A254,Detalle_facturado!V2:V100000)</f>
        <v>0</v>
      </c>
      <c r="G254" s="72"/>
      <c r="H254" s="72"/>
      <c r="I254" s="72">
        <f t="shared" si="15"/>
        <v>2873413.6992064477</v>
      </c>
      <c r="J254" s="72"/>
      <c r="K254" s="72"/>
      <c r="L254" s="73">
        <f t="shared" si="16"/>
        <v>1.6146583893958337E-2</v>
      </c>
      <c r="M254" s="73"/>
    </row>
    <row r="255" spans="1:13" ht="14.85" customHeight="1">
      <c r="A255" s="74" t="str">
        <f t="shared" si="14"/>
        <v>Operaciones y gestion</v>
      </c>
      <c r="B255" s="74"/>
      <c r="C255" s="74">
        <f>SUMIF(Detalle_facturado!AB2:AB100000,A255,Detalle_facturado!T2:T100000)</f>
        <v>1725418.3072412801</v>
      </c>
      <c r="D255" s="74"/>
      <c r="E255" s="74"/>
      <c r="F255" s="74">
        <f>SUMIF(Detalle_facturado!AB2:AB100000,A255,Detalle_facturado!V2:V100000)</f>
        <v>0</v>
      </c>
      <c r="G255" s="74"/>
      <c r="H255" s="74"/>
      <c r="I255" s="74">
        <f t="shared" si="15"/>
        <v>1725418.3072412801</v>
      </c>
      <c r="J255" s="74"/>
      <c r="K255" s="74"/>
      <c r="L255" s="75">
        <f t="shared" si="16"/>
        <v>9.6956492751937937E-3</v>
      </c>
      <c r="M255" s="75"/>
    </row>
    <row r="256" spans="1:13" ht="14.85" customHeight="1">
      <c r="A256" s="72" t="str">
        <f t="shared" si="14"/>
        <v>Observabilidad</v>
      </c>
      <c r="B256" s="72"/>
      <c r="C256" s="72">
        <f>SUMIF(Detalle_facturado!AB2:AB100000,A256,Detalle_facturado!T2:T100000)</f>
        <v>1644557.0425337316</v>
      </c>
      <c r="D256" s="72"/>
      <c r="E256" s="72"/>
      <c r="F256" s="72">
        <f>SUMIF(Detalle_facturado!AB2:AB100000,A256,Detalle_facturado!V2:V100000)</f>
        <v>1.4913694353683207</v>
      </c>
      <c r="G256" s="72"/>
      <c r="H256" s="72"/>
      <c r="I256" s="72">
        <f t="shared" si="15"/>
        <v>1644558.5339031674</v>
      </c>
      <c r="J256" s="72"/>
      <c r="K256" s="72"/>
      <c r="L256" s="73">
        <f t="shared" si="16"/>
        <v>9.2412736611947148E-3</v>
      </c>
      <c r="M256" s="73"/>
    </row>
    <row r="257" spans="1:13" ht="14.85" customHeight="1">
      <c r="A257" s="74" t="str">
        <f t="shared" si="14"/>
        <v>Seguridad</v>
      </c>
      <c r="B257" s="74"/>
      <c r="C257" s="74">
        <f>SUMIF(Detalle_facturado!AB2:AB100000,A257,Detalle_facturado!T2:T100000)</f>
        <v>1559771.2203427898</v>
      </c>
      <c r="D257" s="74"/>
      <c r="E257" s="74"/>
      <c r="F257" s="74">
        <f>SUMIF(Detalle_facturado!AB2:AB100000,A257,Detalle_facturado!V2:V100000)</f>
        <v>0</v>
      </c>
      <c r="G257" s="74"/>
      <c r="H257" s="74"/>
      <c r="I257" s="74">
        <f t="shared" si="15"/>
        <v>1559771.2203427898</v>
      </c>
      <c r="J257" s="74"/>
      <c r="K257" s="74"/>
      <c r="L257" s="75">
        <f t="shared" si="16"/>
        <v>8.7648280063542475E-3</v>
      </c>
      <c r="M257" s="75"/>
    </row>
    <row r="258" spans="1:13" ht="14.85" customHeight="1">
      <c r="A258" s="72" t="str">
        <f t="shared" si="14"/>
        <v>Networking</v>
      </c>
      <c r="B258" s="72"/>
      <c r="C258" s="72">
        <f>SUMIF(Detalle_facturado!AB2:AB100000,A258,Detalle_facturado!T2:T100000)</f>
        <v>1404203.5920505133</v>
      </c>
      <c r="D258" s="72"/>
      <c r="E258" s="72"/>
      <c r="F258" s="72">
        <f>SUMIF(Detalle_facturado!AB2:AB100000,A258,Detalle_facturado!V2:V100000)</f>
        <v>5.2434703607545599</v>
      </c>
      <c r="G258" s="72"/>
      <c r="H258" s="72"/>
      <c r="I258" s="72">
        <f t="shared" si="15"/>
        <v>1404208.8355208738</v>
      </c>
      <c r="J258" s="72"/>
      <c r="K258" s="72"/>
      <c r="L258" s="73">
        <f t="shared" si="16"/>
        <v>7.8906757400220504E-3</v>
      </c>
      <c r="M258" s="73"/>
    </row>
    <row r="259" spans="1:13" ht="14.85" customHeight="1">
      <c r="A259" s="74" t="str">
        <f t="shared" si="14"/>
        <v>Gobierno y cumplimiento</v>
      </c>
      <c r="B259" s="74"/>
      <c r="C259" s="74">
        <f>SUMIF(Detalle_facturado!AB2:AB100000,A259,Detalle_facturado!T2:T100000)</f>
        <v>1029176.0908800003</v>
      </c>
      <c r="D259" s="74"/>
      <c r="E259" s="74"/>
      <c r="F259" s="74">
        <f>SUMIF(Detalle_facturado!AB2:AB100000,A259,Detalle_facturado!V2:V100000)</f>
        <v>0</v>
      </c>
      <c r="G259" s="74"/>
      <c r="H259" s="74"/>
      <c r="I259" s="74">
        <f t="shared" si="15"/>
        <v>1029176.0908800003</v>
      </c>
      <c r="J259" s="74"/>
      <c r="K259" s="74"/>
      <c r="L259" s="75">
        <f t="shared" si="16"/>
        <v>5.7832528945063943E-3</v>
      </c>
      <c r="M259" s="75"/>
    </row>
    <row r="260" spans="1:13" ht="14.85" customHeight="1">
      <c r="A260" s="72" t="str">
        <f t="shared" si="14"/>
        <v>DevOps</v>
      </c>
      <c r="B260" s="72"/>
      <c r="C260" s="72">
        <f>SUMIF(Detalle_facturado!AB2:AB100000,A260,Detalle_facturado!T2:T100000)</f>
        <v>428223.62833353214</v>
      </c>
      <c r="D260" s="72"/>
      <c r="E260" s="72"/>
      <c r="F260" s="72">
        <f>SUMIF(Detalle_facturado!AB2:AB100000,A260,Detalle_facturado!V2:V100000)</f>
        <v>126.26802675932194</v>
      </c>
      <c r="G260" s="72"/>
      <c r="H260" s="72"/>
      <c r="I260" s="72">
        <f t="shared" si="15"/>
        <v>428349.89636029152</v>
      </c>
      <c r="J260" s="72"/>
      <c r="K260" s="72"/>
      <c r="L260" s="73">
        <f t="shared" si="16"/>
        <v>2.4070281071813322E-3</v>
      </c>
      <c r="M260" s="73"/>
    </row>
    <row r="261" spans="1:13" ht="14.85" customHeight="1">
      <c r="A261" s="74" t="str">
        <f t="shared" si="14"/>
        <v>Storage</v>
      </c>
      <c r="B261" s="74"/>
      <c r="C261" s="74">
        <f>SUMIF(Detalle_facturado!AB2:AB100000,A261,Detalle_facturado!T2:T100000)</f>
        <v>186615.91350454258</v>
      </c>
      <c r="D261" s="74"/>
      <c r="E261" s="74"/>
      <c r="F261" s="74">
        <f>SUMIF(Detalle_facturado!AB2:AB100000,A261,Detalle_facturado!V2:V100000)</f>
        <v>0</v>
      </c>
      <c r="G261" s="74"/>
      <c r="H261" s="74"/>
      <c r="I261" s="74">
        <f t="shared" si="15"/>
        <v>186615.91350454258</v>
      </c>
      <c r="J261" s="74"/>
      <c r="K261" s="74"/>
      <c r="L261" s="75">
        <f t="shared" si="16"/>
        <v>1.0486514713077791E-3</v>
      </c>
      <c r="M261" s="75"/>
    </row>
    <row r="262" spans="1:13" ht="14.85" customHeight="1">
      <c r="A262" s="72" t="str">
        <f t="shared" si="14"/>
        <v>Productividad de desarrollo</v>
      </c>
      <c r="B262" s="72"/>
      <c r="C262" s="72">
        <f>SUMIF(Detalle_facturado!AB2:AB100000,A262,Detalle_facturado!T2:T100000)</f>
        <v>132056.07016823205</v>
      </c>
      <c r="D262" s="72"/>
      <c r="E262" s="72"/>
      <c r="F262" s="72">
        <f>SUMIF(Detalle_facturado!AB2:AB100000,A262,Detalle_facturado!V2:V100000)</f>
        <v>0</v>
      </c>
      <c r="G262" s="72"/>
      <c r="H262" s="72"/>
      <c r="I262" s="72">
        <f t="shared" si="15"/>
        <v>132056.07016823205</v>
      </c>
      <c r="J262" s="72"/>
      <c r="K262" s="72"/>
      <c r="L262" s="73">
        <f t="shared" si="16"/>
        <v>7.4206314818735415E-4</v>
      </c>
      <c r="M262" s="73"/>
    </row>
    <row r="263" spans="1:13" ht="14.85" customHeight="1">
      <c r="A263" s="74" t="str">
        <f t="shared" si="14"/>
        <v>Integracion y mensajeria</v>
      </c>
      <c r="B263" s="74"/>
      <c r="C263" s="74">
        <f>SUMIF(Detalle_facturado!AB2:AB100000,A263,Detalle_facturado!T2:T100000)</f>
        <v>122977.63889039947</v>
      </c>
      <c r="D263" s="74"/>
      <c r="E263" s="74"/>
      <c r="F263" s="74">
        <f>SUMIF(Detalle_facturado!AB2:AB100000,A263,Detalle_facturado!V2:V100000)</f>
        <v>0</v>
      </c>
      <c r="G263" s="74"/>
      <c r="H263" s="74"/>
      <c r="I263" s="74">
        <f t="shared" si="15"/>
        <v>122977.63889039947</v>
      </c>
      <c r="J263" s="74"/>
      <c r="K263" s="74"/>
      <c r="L263" s="75">
        <f t="shared" si="16"/>
        <v>6.9104868678434011E-4</v>
      </c>
      <c r="M263" s="75"/>
    </row>
    <row r="264" spans="1:13" ht="14.85" customHeight="1">
      <c r="A264" s="72" t="str">
        <f t="shared" si="14"/>
        <v>Marketplace y software de terceros</v>
      </c>
      <c r="B264" s="72"/>
      <c r="C264" s="72">
        <f>SUMIF(Detalle_facturado!AB2:AB100000,A264,Detalle_facturado!T2:T100000)</f>
        <v>59652.211199999954</v>
      </c>
      <c r="D264" s="72"/>
      <c r="E264" s="72"/>
      <c r="F264" s="72">
        <f>SUMIF(Detalle_facturado!AB2:AB100000,A264,Detalle_facturado!V2:V100000)</f>
        <v>0</v>
      </c>
      <c r="G264" s="72"/>
      <c r="H264" s="72"/>
      <c r="I264" s="72">
        <f t="shared" si="15"/>
        <v>59652.211199999954</v>
      </c>
      <c r="J264" s="72"/>
      <c r="K264" s="72"/>
      <c r="L264" s="73">
        <f t="shared" si="16"/>
        <v>3.3520388410026799E-4</v>
      </c>
      <c r="M264" s="73"/>
    </row>
    <row r="265" spans="1:13" ht="14.85" customHeight="1">
      <c r="A265" s="74" t="str">
        <f t="shared" si="14"/>
        <v>FinOps</v>
      </c>
      <c r="B265" s="74"/>
      <c r="C265" s="74">
        <f>SUMIF(Detalle_facturado!AB2:AB100000,A265,Detalle_facturado!T2:T100000)</f>
        <v>31682.547215241164</v>
      </c>
      <c r="D265" s="74"/>
      <c r="E265" s="74"/>
      <c r="F265" s="74">
        <f>SUMIF(Detalle_facturado!AB2:AB100000,A265,Detalle_facturado!V2:V100000)</f>
        <v>0</v>
      </c>
      <c r="G265" s="74"/>
      <c r="H265" s="74"/>
      <c r="I265" s="74">
        <f t="shared" si="15"/>
        <v>31682.547215241164</v>
      </c>
      <c r="J265" s="74"/>
      <c r="K265" s="74"/>
      <c r="L265" s="75">
        <f t="shared" si="16"/>
        <v>1.7803385106936279E-4</v>
      </c>
      <c r="M265" s="75"/>
    </row>
    <row r="266" spans="1:13" ht="14.85" customHeight="1">
      <c r="A266" s="72" t="str">
        <f t="shared" si="14"/>
        <v>Integracion y orquestacion</v>
      </c>
      <c r="B266" s="72"/>
      <c r="C266" s="72">
        <f>SUMIF(Detalle_facturado!AB2:AB100000,A266,Detalle_facturado!T2:T100000)</f>
        <v>13503.997392383972</v>
      </c>
      <c r="D266" s="72"/>
      <c r="E266" s="72"/>
      <c r="F266" s="72">
        <f>SUMIF(Detalle_facturado!AB2:AB100000,A266,Detalle_facturado!V2:V100000)</f>
        <v>9572.3011453600029</v>
      </c>
      <c r="G266" s="72"/>
      <c r="H266" s="72"/>
      <c r="I266" s="72">
        <f t="shared" si="15"/>
        <v>23076.298537744195</v>
      </c>
      <c r="J266" s="72"/>
      <c r="K266" s="72"/>
      <c r="L266" s="73">
        <f t="shared" si="16"/>
        <v>1.2967272704400931E-4</v>
      </c>
      <c r="M266" s="73"/>
    </row>
    <row r="267" spans="1:13" ht="14.85" customHeight="1">
      <c r="A267" s="74" t="str">
        <f t="shared" si="14"/>
        <v>ML</v>
      </c>
      <c r="B267" s="74"/>
      <c r="C267" s="74">
        <f>SUMIF(Detalle_facturado!AB2:AB100000,A267,Detalle_facturado!T2:T100000)</f>
        <v>7183.922058298177</v>
      </c>
      <c r="D267" s="74"/>
      <c r="E267" s="74"/>
      <c r="F267" s="74">
        <f>SUMIF(Detalle_facturado!AB2:AB100000,A267,Detalle_facturado!V2:V100000)</f>
        <v>0</v>
      </c>
      <c r="G267" s="74"/>
      <c r="H267" s="74"/>
      <c r="I267" s="74">
        <f t="shared" si="15"/>
        <v>7183.922058298177</v>
      </c>
      <c r="J267" s="74"/>
      <c r="K267" s="74"/>
      <c r="L267" s="75">
        <f t="shared" si="16"/>
        <v>4.036863895860314E-5</v>
      </c>
      <c r="M267" s="75"/>
    </row>
    <row r="268" spans="1:13" ht="14.85" customHeight="1">
      <c r="A268" s="72" t="str">
        <f t="shared" si="14"/>
        <v>Gobierno de datos</v>
      </c>
      <c r="B268" s="72"/>
      <c r="C268" s="72">
        <f>SUMIF(Detalle_facturado!AB2:AB100000,A268,Detalle_facturado!T2:T100000)</f>
        <v>1814.6941406048243</v>
      </c>
      <c r="D268" s="72"/>
      <c r="E268" s="72"/>
      <c r="F268" s="72">
        <f>SUMIF(Detalle_facturado!AB2:AB100000,A268,Detalle_facturado!V2:V100000)</f>
        <v>0</v>
      </c>
      <c r="G268" s="72"/>
      <c r="H268" s="72"/>
      <c r="I268" s="72">
        <f t="shared" si="15"/>
        <v>1814.6941406048243</v>
      </c>
      <c r="J268" s="72"/>
      <c r="K268" s="72"/>
      <c r="L268" s="73">
        <f t="shared" si="16"/>
        <v>1.0197317285444323E-5</v>
      </c>
      <c r="M268" s="73"/>
    </row>
    <row r="269" spans="1:13" ht="14.85" customHeight="1">
      <c r="A269" s="74" t="str">
        <f t="shared" si="14"/>
        <v>Comunicaciones</v>
      </c>
      <c r="B269" s="74"/>
      <c r="C269" s="74">
        <f>SUMIF(Detalle_facturado!AB2:AB100000,A269,Detalle_facturado!T2:T100000)</f>
        <v>452.95642181772803</v>
      </c>
      <c r="D269" s="74"/>
      <c r="E269" s="74"/>
      <c r="F269" s="74">
        <f>SUMIF(Detalle_facturado!AB2:AB100000,A269,Detalle_facturado!V2:V100000)</f>
        <v>0</v>
      </c>
      <c r="G269" s="74"/>
      <c r="H269" s="74"/>
      <c r="I269" s="74">
        <f t="shared" si="15"/>
        <v>452.95642181772803</v>
      </c>
      <c r="J269" s="74"/>
      <c r="K269" s="74"/>
      <c r="L269" s="75">
        <f t="shared" si="16"/>
        <v>2.5452996438372083E-6</v>
      </c>
      <c r="M269" s="75"/>
    </row>
    <row r="270" spans="1:13" ht="14.85" customHeight="1">
      <c r="A270" s="72" t="str">
        <f t="shared" si="14"/>
        <v>Backup y resiliencia</v>
      </c>
      <c r="B270" s="72"/>
      <c r="C270" s="72">
        <f>SUMIF(Detalle_facturado!AB2:AB100000,A270,Detalle_facturado!T2:T100000)</f>
        <v>113.62491673033193</v>
      </c>
      <c r="D270" s="72"/>
      <c r="E270" s="72"/>
      <c r="F270" s="72">
        <f>SUMIF(Detalle_facturado!AB2:AB100000,A270,Detalle_facturado!V2:V100000)</f>
        <v>0</v>
      </c>
      <c r="G270" s="72"/>
      <c r="H270" s="72"/>
      <c r="I270" s="72">
        <f t="shared" si="15"/>
        <v>113.62491673033193</v>
      </c>
      <c r="J270" s="72"/>
      <c r="K270" s="72"/>
      <c r="L270" s="73">
        <f t="shared" si="16"/>
        <v>6.3849290164413582E-7</v>
      </c>
      <c r="M270" s="73"/>
    </row>
    <row r="271" spans="1:13" ht="14.85" customHeight="1">
      <c r="A271" s="74" t="str">
        <f t="shared" si="14"/>
        <v>Computo</v>
      </c>
      <c r="B271" s="74"/>
      <c r="C271" s="74">
        <f>SUMIF(Detalle_facturado!AB2:AB100000,A271,Detalle_facturado!T2:T100000)</f>
        <v>0</v>
      </c>
      <c r="D271" s="74"/>
      <c r="E271" s="74"/>
      <c r="F271" s="74">
        <f>SUMIF(Detalle_facturado!AB2:AB100000,A271,Detalle_facturado!V2:V100000)</f>
        <v>0</v>
      </c>
      <c r="G271" s="74"/>
      <c r="H271" s="74"/>
      <c r="I271" s="74">
        <f t="shared" si="15"/>
        <v>0</v>
      </c>
      <c r="J271" s="74"/>
      <c r="K271" s="74"/>
      <c r="L271" s="75">
        <f t="shared" si="16"/>
        <v>0</v>
      </c>
      <c r="M271" s="75"/>
    </row>
  </sheetData>
  <mergeCells count="137">
    <mergeCell ref="A271:B271"/>
    <mergeCell ref="C271:E271"/>
    <mergeCell ref="F271:H271"/>
    <mergeCell ref="I271:K271"/>
    <mergeCell ref="L271:M271"/>
    <mergeCell ref="A269:B269"/>
    <mergeCell ref="C269:E269"/>
    <mergeCell ref="F269:H269"/>
    <mergeCell ref="I269:K269"/>
    <mergeCell ref="L269:M269"/>
    <mergeCell ref="A270:B270"/>
    <mergeCell ref="C270:E270"/>
    <mergeCell ref="F270:H270"/>
    <mergeCell ref="I270:K270"/>
    <mergeCell ref="L270:M270"/>
    <mergeCell ref="A267:B267"/>
    <mergeCell ref="C267:E267"/>
    <mergeCell ref="F267:H267"/>
    <mergeCell ref="I267:K267"/>
    <mergeCell ref="L267:M267"/>
    <mergeCell ref="A268:B268"/>
    <mergeCell ref="C268:E268"/>
    <mergeCell ref="F268:H268"/>
    <mergeCell ref="I268:K268"/>
    <mergeCell ref="L268:M268"/>
    <mergeCell ref="A265:B265"/>
    <mergeCell ref="C265:E265"/>
    <mergeCell ref="F265:H265"/>
    <mergeCell ref="I265:K265"/>
    <mergeCell ref="L265:M265"/>
    <mergeCell ref="A266:B266"/>
    <mergeCell ref="C266:E266"/>
    <mergeCell ref="F266:H266"/>
    <mergeCell ref="I266:K266"/>
    <mergeCell ref="L266:M266"/>
    <mergeCell ref="A263:B263"/>
    <mergeCell ref="C263:E263"/>
    <mergeCell ref="F263:H263"/>
    <mergeCell ref="I263:K263"/>
    <mergeCell ref="L263:M263"/>
    <mergeCell ref="A264:B264"/>
    <mergeCell ref="C264:E264"/>
    <mergeCell ref="F264:H264"/>
    <mergeCell ref="I264:K264"/>
    <mergeCell ref="L264:M264"/>
    <mergeCell ref="A261:B261"/>
    <mergeCell ref="C261:E261"/>
    <mergeCell ref="F261:H261"/>
    <mergeCell ref="I261:K261"/>
    <mergeCell ref="L261:M261"/>
    <mergeCell ref="A262:B262"/>
    <mergeCell ref="C262:E262"/>
    <mergeCell ref="F262:H262"/>
    <mergeCell ref="I262:K262"/>
    <mergeCell ref="L262:M262"/>
    <mergeCell ref="A259:B259"/>
    <mergeCell ref="C259:E259"/>
    <mergeCell ref="F259:H259"/>
    <mergeCell ref="I259:K259"/>
    <mergeCell ref="L259:M259"/>
    <mergeCell ref="A260:B260"/>
    <mergeCell ref="C260:E260"/>
    <mergeCell ref="F260:H260"/>
    <mergeCell ref="I260:K260"/>
    <mergeCell ref="L260:M260"/>
    <mergeCell ref="A257:B257"/>
    <mergeCell ref="C257:E257"/>
    <mergeCell ref="F257:H257"/>
    <mergeCell ref="I257:K257"/>
    <mergeCell ref="L257:M257"/>
    <mergeCell ref="A258:B258"/>
    <mergeCell ref="C258:E258"/>
    <mergeCell ref="F258:H258"/>
    <mergeCell ref="I258:K258"/>
    <mergeCell ref="L258:M258"/>
    <mergeCell ref="A255:B255"/>
    <mergeCell ref="C255:E255"/>
    <mergeCell ref="F255:H255"/>
    <mergeCell ref="I255:K255"/>
    <mergeCell ref="L255:M255"/>
    <mergeCell ref="A256:B256"/>
    <mergeCell ref="C256:E256"/>
    <mergeCell ref="F256:H256"/>
    <mergeCell ref="I256:K256"/>
    <mergeCell ref="L256:M256"/>
    <mergeCell ref="A253:B253"/>
    <mergeCell ref="C253:E253"/>
    <mergeCell ref="F253:H253"/>
    <mergeCell ref="I253:K253"/>
    <mergeCell ref="L253:M253"/>
    <mergeCell ref="A254:B254"/>
    <mergeCell ref="C254:E254"/>
    <mergeCell ref="F254:H254"/>
    <mergeCell ref="I254:K254"/>
    <mergeCell ref="L254:M254"/>
    <mergeCell ref="A251:B251"/>
    <mergeCell ref="C251:E251"/>
    <mergeCell ref="F251:H251"/>
    <mergeCell ref="I251:K251"/>
    <mergeCell ref="L251:M251"/>
    <mergeCell ref="A252:B252"/>
    <mergeCell ref="C252:E252"/>
    <mergeCell ref="F252:H252"/>
    <mergeCell ref="I252:K252"/>
    <mergeCell ref="L252:M252"/>
    <mergeCell ref="A232:M232"/>
    <mergeCell ref="A244:M245"/>
    <mergeCell ref="A248:M248"/>
    <mergeCell ref="A249:B249"/>
    <mergeCell ref="C249:E249"/>
    <mergeCell ref="F249:H249"/>
    <mergeCell ref="I249:K249"/>
    <mergeCell ref="L249:M249"/>
    <mergeCell ref="A250:B250"/>
    <mergeCell ref="C250:E250"/>
    <mergeCell ref="F250:H250"/>
    <mergeCell ref="I250:K250"/>
    <mergeCell ref="L250:M250"/>
    <mergeCell ref="A7:C7"/>
    <mergeCell ref="D7:F7"/>
    <mergeCell ref="G7:I7"/>
    <mergeCell ref="J7:M7"/>
    <mergeCell ref="A8:C9"/>
    <mergeCell ref="D8:F9"/>
    <mergeCell ref="G8:I9"/>
    <mergeCell ref="J8:M9"/>
    <mergeCell ref="A11:M11"/>
    <mergeCell ref="A1:M1"/>
    <mergeCell ref="A2:M2"/>
    <mergeCell ref="A3:C3"/>
    <mergeCell ref="D3:F3"/>
    <mergeCell ref="G3:I3"/>
    <mergeCell ref="J3:M3"/>
    <mergeCell ref="A4:C5"/>
    <mergeCell ref="D4:F5"/>
    <mergeCell ref="G4:I5"/>
    <mergeCell ref="J4:M5"/>
  </mergeCells>
  <phoneticPr fontId="19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8C95"/>
  </sheetPr>
  <dimension ref="A1:J10"/>
  <sheetViews>
    <sheetView showGridLines="0" zoomScaleNormal="100" workbookViewId="0">
      <pane ySplit="1" topLeftCell="A2" activePane="bottomLeft" state="frozen"/>
      <selection pane="bottomLeft" activeCell="B4" sqref="B4"/>
    </sheetView>
  </sheetViews>
  <sheetFormatPr defaultColWidth="8.5703125" defaultRowHeight="14.45"/>
  <cols>
    <col min="1" max="1" width="14.7109375" customWidth="1"/>
    <col min="2" max="2" width="33.7109375" customWidth="1"/>
    <col min="3" max="3" width="14.7109375" customWidth="1"/>
    <col min="4" max="4" width="35.7109375" customWidth="1"/>
    <col min="5" max="5" width="27" style="3" customWidth="1"/>
    <col min="6" max="6" width="26.7109375" style="2" customWidth="1"/>
    <col min="7" max="7" width="20.7109375" style="6" customWidth="1"/>
    <col min="8" max="8" width="26.7109375" style="5" customWidth="1"/>
    <col min="9" max="9" width="28.7109375" style="6" customWidth="1"/>
    <col min="10" max="10" width="24.7109375" style="6" customWidth="1"/>
  </cols>
  <sheetData>
    <row r="1" spans="1:10" s="7" customFormat="1" ht="37.5" customHeight="1">
      <c r="A1" s="10" t="s">
        <v>186</v>
      </c>
      <c r="B1" s="10" t="s">
        <v>187</v>
      </c>
      <c r="C1" s="10" t="s">
        <v>70</v>
      </c>
      <c r="D1" s="10" t="s">
        <v>188</v>
      </c>
      <c r="E1" s="10" t="s">
        <v>189</v>
      </c>
      <c r="F1" s="10" t="s">
        <v>190</v>
      </c>
      <c r="G1" s="10" t="s">
        <v>191</v>
      </c>
      <c r="H1" s="10" t="s">
        <v>16</v>
      </c>
      <c r="I1" s="10" t="s">
        <v>192</v>
      </c>
      <c r="J1" s="10" t="s">
        <v>193</v>
      </c>
    </row>
    <row r="2" spans="1:10">
      <c r="A2" t="s">
        <v>194</v>
      </c>
      <c r="B2" t="s">
        <v>79</v>
      </c>
      <c r="C2" t="s">
        <v>80</v>
      </c>
      <c r="D2" t="s">
        <v>195</v>
      </c>
      <c r="E2" s="3">
        <v>17852.598527844999</v>
      </c>
      <c r="F2" s="2">
        <f>Resumen!$C$27</f>
        <v>3655.16</v>
      </c>
      <c r="G2" s="6">
        <f t="shared" ref="G2:G10" si="0">E2*F2</f>
        <v>65254104.03503792</v>
      </c>
      <c r="H2" s="5">
        <f>Resumen!$C$28</f>
        <v>0.76</v>
      </c>
      <c r="I2" s="6">
        <f t="shared" ref="I2:I10" si="1">IF(D2="Procesamiento",G2*H2,0)</f>
        <v>49593119.066628821</v>
      </c>
      <c r="J2" s="6">
        <f t="shared" ref="J2:J10" si="2">SUM(G2,I2)</f>
        <v>114847223.10166675</v>
      </c>
    </row>
  </sheetData>
  <autoFilter ref="A1:J10" xr:uid="{00000000-0009-0000-0000-000002000000}"/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168C95"/>
  </sheetPr>
  <dimension ref="A1:K123"/>
  <sheetViews>
    <sheetView showGridLines="0" zoomScaleNormal="100" workbookViewId="0">
      <pane ySplit="1" topLeftCell="A66" activePane="bottomLeft" state="frozen"/>
      <selection pane="bottomLeft" activeCell="E66" sqref="E66"/>
    </sheetView>
  </sheetViews>
  <sheetFormatPr defaultColWidth="8.5703125" defaultRowHeight="14.45"/>
  <cols>
    <col min="1" max="1" width="44.7109375" customWidth="1"/>
    <col min="2" max="3" width="27.7109375" customWidth="1"/>
    <col min="4" max="4" width="35.7109375" customWidth="1"/>
    <col min="5" max="5" width="21.7109375" style="3" customWidth="1"/>
    <col min="6" max="6" width="26.7109375" style="2" customWidth="1"/>
    <col min="7" max="7" width="21.7109375" style="6" customWidth="1"/>
    <col min="8" max="8" width="26.7109375" style="5" customWidth="1"/>
    <col min="9" max="9" width="28.7109375" style="6" customWidth="1"/>
    <col min="10" max="10" width="24.7109375" style="6" customWidth="1"/>
    <col min="11" max="11" width="24" customWidth="1"/>
  </cols>
  <sheetData>
    <row r="1" spans="1:11" s="7" customFormat="1" ht="37.5" customHeight="1">
      <c r="A1" s="10" t="s">
        <v>205</v>
      </c>
      <c r="B1" s="10" t="s">
        <v>206</v>
      </c>
      <c r="C1" s="10" t="s">
        <v>207</v>
      </c>
      <c r="D1" s="10" t="s">
        <v>188</v>
      </c>
      <c r="E1" s="10" t="s">
        <v>189</v>
      </c>
      <c r="F1" s="10" t="s">
        <v>190</v>
      </c>
      <c r="G1" s="10" t="s">
        <v>191</v>
      </c>
      <c r="H1" s="10" t="s">
        <v>16</v>
      </c>
      <c r="I1" s="10" t="s">
        <v>192</v>
      </c>
      <c r="J1" s="10" t="s">
        <v>193</v>
      </c>
      <c r="K1" s="10" t="s">
        <v>208</v>
      </c>
    </row>
    <row r="2" spans="1:11" hidden="1">
      <c r="A2" t="s">
        <v>77</v>
      </c>
      <c r="B2" t="s">
        <v>209</v>
      </c>
      <c r="C2" t="s">
        <v>209</v>
      </c>
      <c r="D2" t="s">
        <v>195</v>
      </c>
      <c r="E2" s="3">
        <v>17282.948100000001</v>
      </c>
      <c r="F2" s="2">
        <f>Resumen!$C$27</f>
        <v>3655.16</v>
      </c>
      <c r="G2" s="6">
        <f t="shared" ref="G2:G33" si="0">E2*F2</f>
        <v>63171940.577196002</v>
      </c>
      <c r="H2" s="5">
        <f>Resumen!$C$28</f>
        <v>0.76</v>
      </c>
      <c r="I2" s="6">
        <f t="shared" ref="I2:I33" si="1">IF(D2="Procesamiento",G2*H2,0)</f>
        <v>48010674.838668965</v>
      </c>
      <c r="J2" s="6">
        <f t="shared" ref="J2:J33" si="2">SUM(G2,I2)</f>
        <v>111182615.41586497</v>
      </c>
      <c r="K2" t="s">
        <v>78</v>
      </c>
    </row>
  </sheetData>
  <autoFilter ref="A1:K123" xr:uid="{00000000-0009-0000-0000-000003000000}">
    <filterColumn colId="1">
      <filters>
        <filter val="AWSCloudTrail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168C95"/>
  </sheetPr>
  <dimension ref="A1:P1735"/>
  <sheetViews>
    <sheetView showGridLines="0" zoomScaleNormal="100" workbookViewId="0">
      <pane ySplit="1" topLeftCell="A153" activePane="bottomLeft" state="frozen"/>
      <selection pane="bottomLeft" activeCell="O1747" sqref="O1747"/>
    </sheetView>
  </sheetViews>
  <sheetFormatPr defaultColWidth="8.5703125" defaultRowHeight="14.45"/>
  <cols>
    <col min="1" max="1" width="14.7109375" customWidth="1"/>
    <col min="2" max="2" width="33.7109375" customWidth="1"/>
    <col min="3" max="4" width="43.7109375" customWidth="1"/>
    <col min="5" max="5" width="44.7109375" customWidth="1"/>
    <col min="6" max="6" width="31.7109375" customWidth="1"/>
    <col min="7" max="7" width="23.7109375" customWidth="1"/>
    <col min="8" max="8" width="35.7109375" customWidth="1"/>
    <col min="9" max="9" width="28.7109375" style="11" customWidth="1"/>
    <col min="10" max="10" width="20.7109375" style="3" customWidth="1"/>
    <col min="11" max="11" width="26.7109375" style="2" customWidth="1"/>
    <col min="12" max="12" width="20.7109375" style="6" customWidth="1"/>
    <col min="13" max="13" width="26.7109375" style="5" customWidth="1"/>
    <col min="14" max="14" width="28.7109375" style="6" customWidth="1"/>
    <col min="15" max="15" width="24.7109375" style="6" customWidth="1"/>
    <col min="16" max="16" width="24" customWidth="1"/>
  </cols>
  <sheetData>
    <row r="1" spans="1:16" s="7" customFormat="1" ht="37.5" customHeight="1">
      <c r="A1" s="10" t="s">
        <v>186</v>
      </c>
      <c r="B1" s="10" t="s">
        <v>187</v>
      </c>
      <c r="C1" s="10" t="s">
        <v>205</v>
      </c>
      <c r="D1" s="10" t="s">
        <v>262</v>
      </c>
      <c r="E1" s="10" t="s">
        <v>263</v>
      </c>
      <c r="F1" s="10" t="s">
        <v>264</v>
      </c>
      <c r="G1" s="10" t="s">
        <v>265</v>
      </c>
      <c r="H1" s="10" t="s">
        <v>188</v>
      </c>
      <c r="I1" s="10" t="s">
        <v>266</v>
      </c>
      <c r="J1" s="10" t="s">
        <v>189</v>
      </c>
      <c r="K1" s="10" t="s">
        <v>190</v>
      </c>
      <c r="L1" s="10" t="s">
        <v>191</v>
      </c>
      <c r="M1" s="10" t="s">
        <v>16</v>
      </c>
      <c r="N1" s="10" t="s">
        <v>192</v>
      </c>
      <c r="O1" s="10" t="s">
        <v>193</v>
      </c>
      <c r="P1" s="10" t="s">
        <v>208</v>
      </c>
    </row>
    <row r="2" spans="1:16" hidden="1">
      <c r="A2" t="s">
        <v>194</v>
      </c>
      <c r="B2" t="s">
        <v>79</v>
      </c>
      <c r="C2" t="s">
        <v>77</v>
      </c>
      <c r="D2" t="s">
        <v>77</v>
      </c>
      <c r="E2" t="s">
        <v>267</v>
      </c>
      <c r="F2" t="s">
        <v>268</v>
      </c>
      <c r="G2" t="s">
        <v>269</v>
      </c>
      <c r="H2" t="s">
        <v>195</v>
      </c>
      <c r="I2" s="11">
        <v>1778.0328010000001</v>
      </c>
      <c r="J2" s="3">
        <v>8890.1640050000005</v>
      </c>
      <c r="K2" s="2">
        <f>Resumen!$C$27</f>
        <v>3655.16</v>
      </c>
      <c r="L2" s="6">
        <f t="shared" ref="L2:L65" si="0">J2*K2</f>
        <v>32494971.8645158</v>
      </c>
      <c r="M2" s="5">
        <f>Resumen!$C$28</f>
        <v>0.76</v>
      </c>
      <c r="N2" s="6">
        <f t="shared" ref="N2:N65" si="1">IF(H2="Procesamiento",L2*M2,0)</f>
        <v>24696178.61703201</v>
      </c>
      <c r="O2" s="6">
        <f t="shared" ref="O2:O65" si="2">SUM(L2,N2)</f>
        <v>57191150.48154781</v>
      </c>
      <c r="P2" t="s">
        <v>78</v>
      </c>
    </row>
  </sheetData>
  <autoFilter ref="A1:P1735" xr:uid="{00000000-0009-0000-0000-000004000000}">
    <filterColumn colId="15">
      <filters>
        <filter val="FinOps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89E7-3D4A-4713-88F2-ECC3DEDF6FCF}">
  <dimension ref="A1:I23"/>
  <sheetViews>
    <sheetView topLeftCell="L1" workbookViewId="0">
      <selection activeCell="B11" sqref="B11"/>
    </sheetView>
  </sheetViews>
  <sheetFormatPr defaultColWidth="8.7109375" defaultRowHeight="14.45"/>
  <cols>
    <col min="1" max="1" width="32.85546875" bestFit="1" customWidth="1"/>
    <col min="2" max="2" width="47" bestFit="1" customWidth="1"/>
    <col min="3" max="3" width="12.42578125" bestFit="1" customWidth="1"/>
    <col min="4" max="4" width="13.28515625" bestFit="1" customWidth="1"/>
  </cols>
  <sheetData>
    <row r="1" spans="1:9">
      <c r="A1" s="21" t="s">
        <v>816</v>
      </c>
      <c r="B1" s="21" t="s">
        <v>817</v>
      </c>
      <c r="C1" s="21" t="s">
        <v>818</v>
      </c>
      <c r="D1" s="21" t="s">
        <v>819</v>
      </c>
      <c r="F1" s="21" t="str">
        <f>A1</f>
        <v>Categoría</v>
      </c>
      <c r="G1" s="21" t="str">
        <f>B1</f>
        <v>Procesamiento + Plataforma Producción y Soporte</v>
      </c>
      <c r="H1" s="21" t="str">
        <f>C1</f>
        <v>Otros rubros</v>
      </c>
      <c r="I1" s="21" t="str">
        <f>D1</f>
        <v>Total</v>
      </c>
    </row>
    <row r="2" spans="1:9">
      <c r="A2" t="str" cm="1">
        <f t="array" ref="A2:A23">_xlfn._xlws.SORT(_xlfn.UNIQUE(Cuenta_servicio_uso!$P$2:$P$1735))</f>
        <v>Almacenamiento</v>
      </c>
      <c r="B2" s="22">
        <f>SUMIFS(Cuenta_servicio_uso!$O:$O,Cuenta_servicio_uso!$P:$P,$A2,Cuenta_servicio_uso!$H:$H,"Procesamiento")+SUMIFS(Cuenta_servicio_uso!$O:$O,Cuenta_servicio_uso!$P:$P,$A2,Cuenta_servicio_uso!$H:$H,"Plataforma - Producción y Soporte")</f>
        <v>100635.71110702009</v>
      </c>
      <c r="C2" s="22">
        <f>SUMIFS(Cuenta_servicio_uso!$O:$O,Cuenta_servicio_uso!$P:$P,$A2)-B2</f>
        <v>85980.202397511341</v>
      </c>
      <c r="D2" s="22">
        <f>B2+C2</f>
        <v>186615.91350453143</v>
      </c>
      <c r="F2" t="str" cm="1">
        <f t="array" ref="F2:I23">_xlfn._xlws.SORT(_xlfn.HSTACK(A2:C23,D2:D23),4,-1)</f>
        <v>GenAI</v>
      </c>
      <c r="G2">
        <v>114653454.33532621</v>
      </c>
      <c r="H2">
        <v>10017762.828130513</v>
      </c>
      <c r="I2">
        <v>124671217.16345672</v>
      </c>
    </row>
    <row r="3" spans="1:9">
      <c r="A3" t="str">
        <v>Analítica y BI</v>
      </c>
      <c r="B3" s="22">
        <f>SUMIFS(Cuenta_servicio_uso!$O:$O,Cuenta_servicio_uso!$P:$P,$A3,Cuenta_servicio_uso!$H:$H,"Procesamiento")+SUMIFS(Cuenta_servicio_uso!$O:$O,Cuenta_servicio_uso!$P:$P,$A3,Cuenta_servicio_uso!$H:$H,"Plataforma - Producción y Soporte")</f>
        <v>3831409.7967914073</v>
      </c>
      <c r="C3" s="22">
        <f>SUMIFS(Cuenta_servicio_uso!$O:$O,Cuenta_servicio_uso!$P:$P,$A3)-B3</f>
        <v>4566528.6320646396</v>
      </c>
      <c r="D3" s="22">
        <f t="shared" ref="D3:D23" si="0">B3+C3</f>
        <v>8397938.4288560469</v>
      </c>
      <c r="F3" t="str">
        <v>Soporte AWS</v>
      </c>
      <c r="G3">
        <v>20895270.413999997</v>
      </c>
      <c r="H3">
        <v>0</v>
      </c>
      <c r="I3">
        <v>20895270.413999997</v>
      </c>
    </row>
    <row r="4" spans="1:9">
      <c r="A4" t="str">
        <v>Backup y resiliencia</v>
      </c>
      <c r="B4" s="22">
        <f>SUMIFS(Cuenta_servicio_uso!$O:$O,Cuenta_servicio_uso!$P:$P,$A4,Cuenta_servicio_uso!$H:$H,"Procesamiento")+SUMIFS(Cuenta_servicio_uso!$O:$O,Cuenta_servicio_uso!$P:$P,$A4,Cuenta_servicio_uso!$H:$H,"Plataforma - Producción y Soporte")</f>
        <v>0.14709021768799999</v>
      </c>
      <c r="C4" s="22">
        <f>SUMIFS(Cuenta_servicio_uso!$O:$O,Cuenta_servicio_uso!$P:$P,$A4)-B4</f>
        <v>113.477826512644</v>
      </c>
      <c r="D4" s="22">
        <f t="shared" si="0"/>
        <v>113.624916730332</v>
      </c>
      <c r="F4" t="str">
        <v>Cómputo</v>
      </c>
      <c r="G4">
        <v>1775453.5423221299</v>
      </c>
      <c r="H4">
        <v>7616231.0021149972</v>
      </c>
      <c r="I4">
        <v>9391684.5444371272</v>
      </c>
    </row>
    <row r="5" spans="1:9">
      <c r="A5" t="str">
        <v>Base de datos</v>
      </c>
      <c r="B5" s="22">
        <f>SUMIFS(Cuenta_servicio_uso!$O:$O,Cuenta_servicio_uso!$P:$P,$A5,Cuenta_servicio_uso!$H:$H,"Procesamiento")+SUMIFS(Cuenta_servicio_uso!$O:$O,Cuenta_servicio_uso!$P:$P,$A5,Cuenta_servicio_uso!$H:$H,"Plataforma - Producción y Soporte")</f>
        <v>1953291.2635237528</v>
      </c>
      <c r="C5" s="22">
        <f>SUMIFS(Cuenta_servicio_uso!$O:$O,Cuenta_servicio_uso!$P:$P,$A5)-B5</f>
        <v>920122.4356827219</v>
      </c>
      <c r="D5" s="22">
        <f t="shared" si="0"/>
        <v>2873413.6992064747</v>
      </c>
      <c r="F5" t="str">
        <v>Analítica y BI</v>
      </c>
      <c r="G5">
        <v>3831409.7967914073</v>
      </c>
      <c r="H5">
        <v>4566528.6320646396</v>
      </c>
      <c r="I5">
        <v>8397938.4288560469</v>
      </c>
    </row>
    <row r="6" spans="1:9">
      <c r="A6" t="str">
        <v>Búsqueda y analítica</v>
      </c>
      <c r="B6" s="22">
        <f>SUMIFS(Cuenta_servicio_uso!$O:$O,Cuenta_servicio_uso!$P:$P,$A6,Cuenta_servicio_uso!$H:$H,"Procesamiento")+SUMIFS(Cuenta_servicio_uso!$O:$O,Cuenta_servicio_uso!$P:$P,$A6,Cuenta_servicio_uso!$H:$H,"Plataforma - Producción y Soporte")</f>
        <v>112264.81991886855</v>
      </c>
      <c r="C6" s="22">
        <f>SUMIFS(Cuenta_servicio_uso!$O:$O,Cuenta_servicio_uso!$P:$P,$A6)-B6</f>
        <v>3259097.375595618</v>
      </c>
      <c r="D6" s="22">
        <f t="shared" si="0"/>
        <v>3371362.1955144866</v>
      </c>
      <c r="F6" t="str">
        <v>Búsqueda y analítica</v>
      </c>
      <c r="G6">
        <v>112264.81991886855</v>
      </c>
      <c r="H6">
        <v>3259097.375595618</v>
      </c>
      <c r="I6">
        <v>3371362.1955144866</v>
      </c>
    </row>
    <row r="7" spans="1:9">
      <c r="A7" t="str">
        <v>Cómputo</v>
      </c>
      <c r="B7" s="22">
        <f>SUMIFS(Cuenta_servicio_uso!$O:$O,Cuenta_servicio_uso!$P:$P,$A7,Cuenta_servicio_uso!$H:$H,"Procesamiento")+SUMIFS(Cuenta_servicio_uso!$O:$O,Cuenta_servicio_uso!$P:$P,$A7,Cuenta_servicio_uso!$H:$H,"Plataforma - Producción y Soporte")</f>
        <v>1775453.5423221299</v>
      </c>
      <c r="C7" s="22">
        <f>SUMIFS(Cuenta_servicio_uso!$O:$O,Cuenta_servicio_uso!$P:$P,$A7)-B7</f>
        <v>7616231.0021149972</v>
      </c>
      <c r="D7" s="22">
        <f t="shared" si="0"/>
        <v>9391684.5444371272</v>
      </c>
      <c r="F7" t="str">
        <v>Base de datos</v>
      </c>
      <c r="G7">
        <v>1953291.2635237528</v>
      </c>
      <c r="H7">
        <v>920122.4356827219</v>
      </c>
      <c r="I7">
        <v>2873413.6992064747</v>
      </c>
    </row>
    <row r="8" spans="1:9">
      <c r="A8" t="str">
        <v>Comunicaciones</v>
      </c>
      <c r="B8" s="22">
        <f>SUMIFS(Cuenta_servicio_uso!$O:$O,Cuenta_servicio_uso!$P:$P,$A8,Cuenta_servicio_uso!$H:$H,"Procesamiento")+SUMIFS(Cuenta_servicio_uso!$O:$O,Cuenta_servicio_uso!$P:$P,$A8,Cuenta_servicio_uso!$H:$H,"Plataforma - Producción y Soporte")</f>
        <v>170.50623008578802</v>
      </c>
      <c r="C8" s="22">
        <f>SUMIFS(Cuenta_servicio_uso!$O:$O,Cuenta_servicio_uso!$P:$P,$A8)-B8</f>
        <v>282.45019173193998</v>
      </c>
      <c r="D8" s="22">
        <f t="shared" si="0"/>
        <v>452.95642181772803</v>
      </c>
      <c r="F8" t="str">
        <v>Operaciones y gestión</v>
      </c>
      <c r="G8">
        <v>733633.47167512798</v>
      </c>
      <c r="H8">
        <v>991784.83556615212</v>
      </c>
      <c r="I8">
        <v>1725418.3072412801</v>
      </c>
    </row>
    <row r="9" spans="1:9">
      <c r="A9" t="str">
        <v>DevOps</v>
      </c>
      <c r="B9" s="22">
        <f>SUMIFS(Cuenta_servicio_uso!$O:$O,Cuenta_servicio_uso!$P:$P,$A9,Cuenta_servicio_uso!$H:$H,"Procesamiento")+SUMIFS(Cuenta_servicio_uso!$O:$O,Cuenta_servicio_uso!$P:$P,$A9,Cuenta_servicio_uso!$H:$H,"Plataforma - Producción y Soporte")</f>
        <v>91119.519524942676</v>
      </c>
      <c r="C9" s="22">
        <f>SUMIFS(Cuenta_servicio_uso!$O:$O,Cuenta_servicio_uso!$P:$P,$A9)-B9</f>
        <v>337230.37683534814</v>
      </c>
      <c r="D9" s="22">
        <f t="shared" si="0"/>
        <v>428349.89636029082</v>
      </c>
      <c r="F9" t="str">
        <v>Observabilidad</v>
      </c>
      <c r="G9">
        <v>1108596.9216231646</v>
      </c>
      <c r="H9">
        <v>535961.61228000536</v>
      </c>
      <c r="I9">
        <v>1644558.5339031699</v>
      </c>
    </row>
    <row r="10" spans="1:9">
      <c r="A10" t="str">
        <v>FinOps</v>
      </c>
      <c r="B10" s="22">
        <f>SUMIFS(Cuenta_servicio_uso!$O:$O,Cuenta_servicio_uso!$P:$P,$A10,Cuenta_servicio_uso!$H:$H,"Procesamiento")+SUMIFS(Cuenta_servicio_uso!$O:$O,Cuenta_servicio_uso!$P:$P,$A10,Cuenta_servicio_uso!$H:$H,"Plataforma - Producción y Soporte")</f>
        <v>29123.935215241156</v>
      </c>
      <c r="C10" s="22">
        <f>SUMIFS(Cuenta_servicio_uso!$O:$O,Cuenta_servicio_uso!$P:$P,$A10)-B10</f>
        <v>2558.612000000001</v>
      </c>
      <c r="D10" s="22">
        <f t="shared" si="0"/>
        <v>31682.547215241157</v>
      </c>
      <c r="F10" t="str">
        <v>Seguridad</v>
      </c>
      <c r="G10">
        <v>584561.31185640022</v>
      </c>
      <c r="H10">
        <v>975209.9084863686</v>
      </c>
      <c r="I10">
        <v>1559771.2203427688</v>
      </c>
    </row>
    <row r="11" spans="1:9">
      <c r="A11" t="str">
        <v>GenAI</v>
      </c>
      <c r="B11" s="22">
        <f>SUMIFS(Cuenta_servicio_uso!$O:$O,Cuenta_servicio_uso!$P:$P,$A11,Cuenta_servicio_uso!$H:$H,"Procesamiento")+SUMIFS(Cuenta_servicio_uso!$O:$O,Cuenta_servicio_uso!$P:$P,$A11,Cuenta_servicio_uso!$H:$H,"Plataforma - Producción y Soporte")</f>
        <v>114653454.33532621</v>
      </c>
      <c r="C11" s="22">
        <f>SUMIFS(Cuenta_servicio_uso!$O:$O,Cuenta_servicio_uso!$P:$P,$A11)-B11</f>
        <v>10017762.828130513</v>
      </c>
      <c r="D11" s="22">
        <f t="shared" si="0"/>
        <v>124671217.16345672</v>
      </c>
      <c r="F11" t="str">
        <v>Redes</v>
      </c>
      <c r="G11">
        <v>962289.82682310662</v>
      </c>
      <c r="H11">
        <v>441919.00869766891</v>
      </c>
      <c r="I11">
        <v>1404208.8355207755</v>
      </c>
    </row>
    <row r="12" spans="1:9">
      <c r="A12" t="str">
        <v>Gobierno de datos</v>
      </c>
      <c r="B12" s="22">
        <f>SUMIFS(Cuenta_servicio_uso!$O:$O,Cuenta_servicio_uso!$P:$P,$A12,Cuenta_servicio_uso!$H:$H,"Procesamiento")+SUMIFS(Cuenta_servicio_uso!$O:$O,Cuenta_servicio_uso!$P:$P,$A12,Cuenta_servicio_uso!$H:$H,"Plataforma - Producción y Soporte")</f>
        <v>0</v>
      </c>
      <c r="C12" s="22">
        <f>SUMIFS(Cuenta_servicio_uso!$O:$O,Cuenta_servicio_uso!$P:$P,$A12)-B12</f>
        <v>1814.694140604824</v>
      </c>
      <c r="D12" s="22">
        <f t="shared" si="0"/>
        <v>1814.694140604824</v>
      </c>
      <c r="F12" t="str">
        <v>Gobierno y cumplimiento</v>
      </c>
      <c r="G12">
        <v>689355.86567999993</v>
      </c>
      <c r="H12">
        <v>339820.22519999999</v>
      </c>
      <c r="I12">
        <v>1029176.0908799999</v>
      </c>
    </row>
    <row r="13" spans="1:9">
      <c r="A13" t="str">
        <v>Gobierno y cumplimiento</v>
      </c>
      <c r="B13" s="22">
        <f>SUMIFS(Cuenta_servicio_uso!$O:$O,Cuenta_servicio_uso!$P:$P,$A13,Cuenta_servicio_uso!$H:$H,"Procesamiento")+SUMIFS(Cuenta_servicio_uso!$O:$O,Cuenta_servicio_uso!$P:$P,$A13,Cuenta_servicio_uso!$H:$H,"Plataforma - Producción y Soporte")</f>
        <v>689355.86567999993</v>
      </c>
      <c r="C13" s="22">
        <f>SUMIFS(Cuenta_servicio_uso!$O:$O,Cuenta_servicio_uso!$P:$P,$A13)-B13</f>
        <v>339820.22519999999</v>
      </c>
      <c r="D13" s="22">
        <f t="shared" si="0"/>
        <v>1029176.0908799999</v>
      </c>
      <c r="F13" t="str">
        <v>DevOps</v>
      </c>
      <c r="G13">
        <v>91119.519524942676</v>
      </c>
      <c r="H13">
        <v>337230.37683534814</v>
      </c>
      <c r="I13">
        <v>428349.89636029082</v>
      </c>
    </row>
    <row r="14" spans="1:9">
      <c r="A14" t="str">
        <v>Integración y mensajería</v>
      </c>
      <c r="B14" s="22">
        <f>SUMIFS(Cuenta_servicio_uso!$O:$O,Cuenta_servicio_uso!$P:$P,$A14,Cuenta_servicio_uso!$H:$H,"Procesamiento")+SUMIFS(Cuenta_servicio_uso!$O:$O,Cuenta_servicio_uso!$P:$P,$A14,Cuenta_servicio_uso!$H:$H,"Plataforma - Producción y Soporte")</f>
        <v>1347.2729691680001</v>
      </c>
      <c r="C14" s="22">
        <f>SUMIFS(Cuenta_servicio_uso!$O:$O,Cuenta_servicio_uso!$P:$P,$A14)-B14</f>
        <v>121630.36592123186</v>
      </c>
      <c r="D14" s="22">
        <f t="shared" si="0"/>
        <v>122977.63889039986</v>
      </c>
      <c r="F14" t="str">
        <v>Almacenamiento</v>
      </c>
      <c r="G14">
        <v>100635.71110702009</v>
      </c>
      <c r="H14">
        <v>85980.202397511341</v>
      </c>
      <c r="I14">
        <v>186615.91350453143</v>
      </c>
    </row>
    <row r="15" spans="1:9">
      <c r="A15" t="str">
        <v>Integración y orquestación</v>
      </c>
      <c r="B15" s="22">
        <f>SUMIFS(Cuenta_servicio_uso!$O:$O,Cuenta_servicio_uso!$P:$P,$A15,Cuenta_servicio_uso!$H:$H,"Procesamiento")+SUMIFS(Cuenta_servicio_uso!$O:$O,Cuenta_servicio_uso!$P:$P,$A15,Cuenta_servicio_uso!$H:$H,"Plataforma - Producción y Soporte")</f>
        <v>22267.221561424001</v>
      </c>
      <c r="C15" s="22">
        <f>SUMIFS(Cuenta_servicio_uso!$O:$O,Cuenta_servicio_uso!$P:$P,$A15)-B15</f>
        <v>809.07697632000418</v>
      </c>
      <c r="D15" s="22">
        <f t="shared" si="0"/>
        <v>23076.298537744005</v>
      </c>
      <c r="F15" t="str">
        <v>Productividad de desarrollo</v>
      </c>
      <c r="G15">
        <v>132056.07016823199</v>
      </c>
      <c r="H15">
        <v>0</v>
      </c>
      <c r="I15">
        <v>132056.07016823199</v>
      </c>
    </row>
    <row r="16" spans="1:9">
      <c r="A16" t="str">
        <v>Marketplace y software de terceros</v>
      </c>
      <c r="B16" s="22">
        <f>SUMIFS(Cuenta_servicio_uso!$O:$O,Cuenta_servicio_uso!$P:$P,$A16,Cuenta_servicio_uso!$H:$H,"Procesamiento")+SUMIFS(Cuenta_servicio_uso!$O:$O,Cuenta_servicio_uso!$P:$P,$A16,Cuenta_servicio_uso!$H:$H,"Plataforma - Producción y Soporte")</f>
        <v>0</v>
      </c>
      <c r="C16" s="22">
        <f>SUMIFS(Cuenta_servicio_uso!$O:$O,Cuenta_servicio_uso!$P:$P,$A16)-B16</f>
        <v>59652.211199999998</v>
      </c>
      <c r="D16" s="22">
        <f t="shared" si="0"/>
        <v>59652.211199999998</v>
      </c>
      <c r="F16" t="str">
        <v>Integración y mensajería</v>
      </c>
      <c r="G16">
        <v>1347.2729691680001</v>
      </c>
      <c r="H16">
        <v>121630.36592123186</v>
      </c>
      <c r="I16">
        <v>122977.63889039986</v>
      </c>
    </row>
    <row r="17" spans="1:9">
      <c r="A17" t="str">
        <v>ML</v>
      </c>
      <c r="B17" s="22">
        <f>SUMIFS(Cuenta_servicio_uso!$O:$O,Cuenta_servicio_uso!$P:$P,$A17,Cuenta_servicio_uso!$H:$H,"Procesamiento")+SUMIFS(Cuenta_servicio_uso!$O:$O,Cuenta_servicio_uso!$P:$P,$A17,Cuenta_servicio_uso!$H:$H,"Plataforma - Producción y Soporte")</f>
        <v>0</v>
      </c>
      <c r="C17" s="22">
        <f>SUMIFS(Cuenta_servicio_uso!$O:$O,Cuenta_servicio_uso!$P:$P,$A17)-B17</f>
        <v>7183.9220582981761</v>
      </c>
      <c r="D17" s="22">
        <f t="shared" si="0"/>
        <v>7183.9220582981761</v>
      </c>
      <c r="F17" t="str">
        <v>Marketplace y software de terceros</v>
      </c>
      <c r="G17">
        <v>0</v>
      </c>
      <c r="H17">
        <v>59652.211199999998</v>
      </c>
      <c r="I17">
        <v>59652.211199999998</v>
      </c>
    </row>
    <row r="18" spans="1:9">
      <c r="A18" t="str">
        <v>Observabilidad</v>
      </c>
      <c r="B18" s="22">
        <f>SUMIFS(Cuenta_servicio_uso!$O:$O,Cuenta_servicio_uso!$P:$P,$A18,Cuenta_servicio_uso!$H:$H,"Procesamiento")+SUMIFS(Cuenta_servicio_uso!$O:$O,Cuenta_servicio_uso!$P:$P,$A18,Cuenta_servicio_uso!$H:$H,"Plataforma - Producción y Soporte")</f>
        <v>1108596.9216231646</v>
      </c>
      <c r="C18" s="22">
        <f>SUMIFS(Cuenta_servicio_uso!$O:$O,Cuenta_servicio_uso!$P:$P,$A18)-B18</f>
        <v>535961.61228000536</v>
      </c>
      <c r="D18" s="22">
        <f t="shared" si="0"/>
        <v>1644558.5339031699</v>
      </c>
      <c r="F18" t="str">
        <v>FinOps</v>
      </c>
      <c r="G18">
        <v>29123.935215241156</v>
      </c>
      <c r="H18">
        <v>2558.612000000001</v>
      </c>
      <c r="I18">
        <v>31682.547215241157</v>
      </c>
    </row>
    <row r="19" spans="1:9">
      <c r="A19" t="str">
        <v>Operaciones y gestión</v>
      </c>
      <c r="B19" s="22">
        <f>SUMIFS(Cuenta_servicio_uso!$O:$O,Cuenta_servicio_uso!$P:$P,$A19,Cuenta_servicio_uso!$H:$H,"Procesamiento")+SUMIFS(Cuenta_servicio_uso!$O:$O,Cuenta_servicio_uso!$P:$P,$A19,Cuenta_servicio_uso!$H:$H,"Plataforma - Producción y Soporte")</f>
        <v>733633.47167512798</v>
      </c>
      <c r="C19" s="22">
        <f>SUMIFS(Cuenta_servicio_uso!$O:$O,Cuenta_servicio_uso!$P:$P,$A19)-B19</f>
        <v>991784.83556615212</v>
      </c>
      <c r="D19" s="22">
        <f t="shared" si="0"/>
        <v>1725418.3072412801</v>
      </c>
      <c r="F19" t="str">
        <v>Integración y orquestación</v>
      </c>
      <c r="G19">
        <v>22267.221561424001</v>
      </c>
      <c r="H19">
        <v>809.07697632000418</v>
      </c>
      <c r="I19">
        <v>23076.298537744005</v>
      </c>
    </row>
    <row r="20" spans="1:9">
      <c r="A20" t="str">
        <v>Productividad de desarrollo</v>
      </c>
      <c r="B20" s="22">
        <f>SUMIFS(Cuenta_servicio_uso!$O:$O,Cuenta_servicio_uso!$P:$P,$A20,Cuenta_servicio_uso!$H:$H,"Procesamiento")+SUMIFS(Cuenta_servicio_uso!$O:$O,Cuenta_servicio_uso!$P:$P,$A20,Cuenta_servicio_uso!$H:$H,"Plataforma - Producción y Soporte")</f>
        <v>132056.07016823199</v>
      </c>
      <c r="C20" s="22">
        <f>SUMIFS(Cuenta_servicio_uso!$O:$O,Cuenta_servicio_uso!$P:$P,$A20)-B20</f>
        <v>0</v>
      </c>
      <c r="D20" s="22">
        <f t="shared" si="0"/>
        <v>132056.07016823199</v>
      </c>
      <c r="F20" t="str">
        <v>ML</v>
      </c>
      <c r="G20">
        <v>0</v>
      </c>
      <c r="H20">
        <v>7183.9220582981761</v>
      </c>
      <c r="I20">
        <v>7183.9220582981761</v>
      </c>
    </row>
    <row r="21" spans="1:9">
      <c r="A21" t="str">
        <v>Redes</v>
      </c>
      <c r="B21" s="22">
        <f>SUMIFS(Cuenta_servicio_uso!$O:$O,Cuenta_servicio_uso!$P:$P,$A21,Cuenta_servicio_uso!$H:$H,"Procesamiento")+SUMIFS(Cuenta_servicio_uso!$O:$O,Cuenta_servicio_uso!$P:$P,$A21,Cuenta_servicio_uso!$H:$H,"Plataforma - Producción y Soporte")</f>
        <v>962289.82682310662</v>
      </c>
      <c r="C21" s="22">
        <f>SUMIFS(Cuenta_servicio_uso!$O:$O,Cuenta_servicio_uso!$P:$P,$A21)-B21</f>
        <v>441919.00869766891</v>
      </c>
      <c r="D21" s="22">
        <f t="shared" si="0"/>
        <v>1404208.8355207755</v>
      </c>
      <c r="F21" t="str">
        <v>Gobierno de datos</v>
      </c>
      <c r="G21">
        <v>0</v>
      </c>
      <c r="H21">
        <v>1814.694140604824</v>
      </c>
      <c r="I21">
        <v>1814.694140604824</v>
      </c>
    </row>
    <row r="22" spans="1:9">
      <c r="A22" t="str">
        <v>Seguridad</v>
      </c>
      <c r="B22" s="22">
        <f>SUMIFS(Cuenta_servicio_uso!$O:$O,Cuenta_servicio_uso!$P:$P,$A22,Cuenta_servicio_uso!$H:$H,"Procesamiento")+SUMIFS(Cuenta_servicio_uso!$O:$O,Cuenta_servicio_uso!$P:$P,$A22,Cuenta_servicio_uso!$H:$H,"Plataforma - Producción y Soporte")</f>
        <v>584561.31185640022</v>
      </c>
      <c r="C22" s="22">
        <f>SUMIFS(Cuenta_servicio_uso!$O:$O,Cuenta_servicio_uso!$P:$P,$A22)-B22</f>
        <v>975209.9084863686</v>
      </c>
      <c r="D22" s="22">
        <f t="shared" si="0"/>
        <v>1559771.2203427688</v>
      </c>
      <c r="F22" t="str">
        <v>Comunicaciones</v>
      </c>
      <c r="G22">
        <v>170.50623008578802</v>
      </c>
      <c r="H22">
        <v>282.45019173193998</v>
      </c>
      <c r="I22">
        <v>452.95642181772803</v>
      </c>
    </row>
    <row r="23" spans="1:9">
      <c r="A23" t="str">
        <v>Soporte AWS</v>
      </c>
      <c r="B23" s="22">
        <f>SUMIFS(Cuenta_servicio_uso!$O:$O,Cuenta_servicio_uso!$P:$P,$A23,Cuenta_servicio_uso!$H:$H,"Procesamiento")+SUMIFS(Cuenta_servicio_uso!$O:$O,Cuenta_servicio_uso!$P:$P,$A23,Cuenta_servicio_uso!$H:$H,"Plataforma - Producción y Soporte")</f>
        <v>20895270.413999997</v>
      </c>
      <c r="C23" s="22">
        <f>SUMIFS(Cuenta_servicio_uso!$O:$O,Cuenta_servicio_uso!$P:$P,$A23)-B23</f>
        <v>0</v>
      </c>
      <c r="D23" s="22">
        <f t="shared" si="0"/>
        <v>20895270.413999997</v>
      </c>
      <c r="F23" t="str">
        <v>Backup y resiliencia</v>
      </c>
      <c r="G23">
        <v>0.14709021768799999</v>
      </c>
      <c r="H23">
        <v>113.477826512644</v>
      </c>
      <c r="I23">
        <v>113.624916730332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8C95"/>
  </sheetPr>
  <dimension ref="A1:AB60309"/>
  <sheetViews>
    <sheetView showGridLines="0" zoomScaleNormal="100" workbookViewId="0">
      <pane ySplit="1" topLeftCell="A42622" activePane="bottomLeft" state="frozen"/>
      <selection pane="bottomLeft" activeCell="AH43769" sqref="AH43769"/>
    </sheetView>
  </sheetViews>
  <sheetFormatPr defaultColWidth="8.5703125" defaultRowHeight="14.45"/>
  <cols>
    <col min="1" max="1" width="24.7109375" style="12" customWidth="1"/>
    <col min="2" max="2" width="21.7109375" style="12" customWidth="1"/>
    <col min="3" max="3" width="14.7109375" customWidth="1"/>
    <col min="4" max="4" width="29.7109375" customWidth="1"/>
    <col min="5" max="5" width="14.7109375" customWidth="1"/>
    <col min="6" max="7" width="31.7109375" customWidth="1"/>
    <col min="8" max="9" width="24.7109375" customWidth="1"/>
    <col min="10" max="10" width="19.7109375" customWidth="1"/>
    <col min="11" max="11" width="28.7109375" customWidth="1"/>
    <col min="12" max="12" width="15.7109375" customWidth="1"/>
    <col min="13" max="13" width="44.7109375" customWidth="1"/>
    <col min="14" max="14" width="28.7109375" style="11" customWidth="1"/>
    <col min="15" max="15" width="23.7109375" customWidth="1"/>
    <col min="16" max="16" width="17.7109375" customWidth="1"/>
    <col min="17" max="17" width="35.7109375" customWidth="1"/>
    <col min="18" max="18" width="17.7109375" style="3" customWidth="1"/>
    <col min="19" max="19" width="26.7109375" style="2" customWidth="1"/>
    <col min="20" max="20" width="17.7109375" style="6" customWidth="1"/>
    <col min="21" max="21" width="26.7109375" style="5" customWidth="1"/>
    <col min="22" max="22" width="28.7109375" style="6" customWidth="1"/>
    <col min="23" max="23" width="24.7109375" style="6" customWidth="1"/>
    <col min="24" max="24" width="29.7109375" customWidth="1"/>
    <col min="25" max="25" width="17.7109375" customWidth="1"/>
    <col min="26" max="26" width="14.7109375" customWidth="1"/>
    <col min="27" max="27" width="24.7109375" customWidth="1"/>
    <col min="28" max="28" width="24" customWidth="1"/>
  </cols>
  <sheetData>
    <row r="1" spans="1:28" s="7" customFormat="1" ht="37.5" customHeight="1">
      <c r="A1" s="10" t="s">
        <v>820</v>
      </c>
      <c r="B1" s="10" t="s">
        <v>821</v>
      </c>
      <c r="C1" s="10" t="s">
        <v>186</v>
      </c>
      <c r="D1" s="10" t="s">
        <v>187</v>
      </c>
      <c r="E1" s="10" t="s">
        <v>70</v>
      </c>
      <c r="F1" s="10" t="s">
        <v>205</v>
      </c>
      <c r="G1" s="10" t="s">
        <v>262</v>
      </c>
      <c r="H1" s="10" t="s">
        <v>206</v>
      </c>
      <c r="I1" s="10" t="s">
        <v>207</v>
      </c>
      <c r="J1" s="10" t="s">
        <v>822</v>
      </c>
      <c r="K1" s="10" t="s">
        <v>263</v>
      </c>
      <c r="L1" s="10" t="s">
        <v>264</v>
      </c>
      <c r="M1" s="10" t="s">
        <v>823</v>
      </c>
      <c r="N1" s="10" t="s">
        <v>266</v>
      </c>
      <c r="O1" s="10" t="s">
        <v>265</v>
      </c>
      <c r="P1" s="10" t="s">
        <v>824</v>
      </c>
      <c r="Q1" s="10" t="s">
        <v>188</v>
      </c>
      <c r="R1" s="10" t="s">
        <v>189</v>
      </c>
      <c r="S1" s="10" t="s">
        <v>190</v>
      </c>
      <c r="T1" s="10" t="s">
        <v>191</v>
      </c>
      <c r="U1" s="10" t="s">
        <v>16</v>
      </c>
      <c r="V1" s="10" t="s">
        <v>192</v>
      </c>
      <c r="W1" s="10" t="s">
        <v>193</v>
      </c>
      <c r="X1" s="10" t="s">
        <v>825</v>
      </c>
      <c r="Y1" s="10" t="s">
        <v>826</v>
      </c>
      <c r="Z1" s="10" t="s">
        <v>827</v>
      </c>
      <c r="AA1" s="10" t="s">
        <v>828</v>
      </c>
      <c r="AB1" s="10" t="s">
        <v>208</v>
      </c>
    </row>
    <row r="2" spans="1:28">
      <c r="A2" s="12">
        <v>46245</v>
      </c>
      <c r="B2" s="12">
        <v>46245.041666666701</v>
      </c>
      <c r="C2" t="s">
        <v>204</v>
      </c>
      <c r="D2" t="s">
        <v>109</v>
      </c>
      <c r="E2" t="s">
        <v>80</v>
      </c>
      <c r="F2" t="s">
        <v>146</v>
      </c>
      <c r="H2" t="s">
        <v>236</v>
      </c>
      <c r="I2" t="s">
        <v>246</v>
      </c>
      <c r="J2" t="s">
        <v>829</v>
      </c>
      <c r="K2" t="s">
        <v>681</v>
      </c>
      <c r="L2" t="s">
        <v>557</v>
      </c>
      <c r="M2" t="s">
        <v>830</v>
      </c>
      <c r="N2" s="11">
        <v>3.1292E-6</v>
      </c>
      <c r="O2" t="s">
        <v>357</v>
      </c>
      <c r="P2" t="s">
        <v>15</v>
      </c>
      <c r="Q2" t="s">
        <v>199</v>
      </c>
      <c r="R2" s="3">
        <v>6.2600000000000005E-8</v>
      </c>
      <c r="S2" s="2">
        <f>Resumen!$C$27</f>
        <v>3655.16</v>
      </c>
      <c r="T2" s="6">
        <f t="shared" ref="T2:T65" si="0">R2*S2</f>
        <v>2.2881301600000001E-4</v>
      </c>
      <c r="U2" s="5">
        <f>Resumen!$C$28</f>
        <v>0.76</v>
      </c>
      <c r="V2" s="6">
        <f t="shared" ref="V2:V65" si="1">IF(Q2="Procesamiento",T2*U2,0)</f>
        <v>0</v>
      </c>
      <c r="W2" s="6">
        <f t="shared" ref="W2:W65" si="2">SUM(T2,V2)</f>
        <v>2.2881301600000001E-4</v>
      </c>
      <c r="X2" t="s">
        <v>831</v>
      </c>
      <c r="Z2" t="s">
        <v>832</v>
      </c>
      <c r="AA2" t="s">
        <v>833</v>
      </c>
      <c r="AB2" t="s">
        <v>119</v>
      </c>
    </row>
  </sheetData>
  <autoFilter ref="A1:AB60305" xr:uid="{00000000-0009-0000-0000-000005000000}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7</cp:revision>
  <dcterms:created xsi:type="dcterms:W3CDTF">2026-09-01T18:27:18Z</dcterms:created>
  <dcterms:modified xsi:type="dcterms:W3CDTF">2026-10-13T18:29:45Z</dcterms:modified>
  <cp:category/>
  <cp:contentStatus/>
</cp:coreProperties>
</file>